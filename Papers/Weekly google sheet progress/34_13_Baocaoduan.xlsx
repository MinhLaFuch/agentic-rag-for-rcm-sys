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" sheetId="1" r:id="rId5"/>
    <sheet state="visible" name="Survey Papers" sheetId="2" r:id="rId6"/>
    <sheet state="visible" name="Datasets" sheetId="3" r:id="rId7"/>
    <sheet state="visible" name="ConfereceJournal ranks" sheetId="4" r:id="rId8"/>
  </sheets>
  <definedNames>
    <definedName hidden="1" localSheetId="1" name="Z_8B82C2B2_B08B_44B2_BD20_2D58BFF19569_.wvu.FilterData">'Survey Papers'!$A$1:$I$68</definedName>
  </definedNames>
  <calcPr/>
  <customWorkbookViews>
    <customWorkbookView activeSheetId="0" maximized="1" windowHeight="0" windowWidth="0" guid="{8B82C2B2-B08B-44B2-BD20-2D58BFF19569}" name="Nhóm theo Filter"/>
  </customWorkbookViews>
</workbook>
</file>

<file path=xl/sharedStrings.xml><?xml version="1.0" encoding="utf-8"?>
<sst xmlns="http://schemas.openxmlformats.org/spreadsheetml/2006/main" count="346" uniqueCount="243">
  <si>
    <t>Title</t>
  </si>
  <si>
    <t>Year</t>
  </si>
  <si>
    <t>Conf/Journal</t>
  </si>
  <si>
    <t>Dataset</t>
  </si>
  <si>
    <t>Model</t>
  </si>
  <si>
    <t>Abstract</t>
  </si>
  <si>
    <t>Filter</t>
  </si>
  <si>
    <t>Read</t>
  </si>
  <si>
    <t>PDF</t>
  </si>
  <si>
    <t>Recommendation by Generation - Generation Augmented Complementary Fashion Item Retrieval Using Incomplete Outfit</t>
  </si>
  <si>
    <t>RecByGen</t>
  </si>
  <si>
    <t>DRDT Dynamic reflection with divergent thinking for llm-based sequential recommendation</t>
  </si>
  <si>
    <t>DRDT</t>
  </si>
  <si>
    <t>RecMind Large Language Model Powered Agent For Recommendation</t>
  </si>
  <si>
    <t>Amazon Beauty, Amazon Toys, Amazon Sports, Yelp</t>
  </si>
  <si>
    <t>RecMind</t>
  </si>
  <si>
    <t>Framework</t>
  </si>
  <si>
    <t>Anh Quân</t>
  </si>
  <si>
    <t>A Multi-Agent Conversational Recommender System</t>
  </si>
  <si>
    <t>MACRS</t>
  </si>
  <si>
    <r>
      <rPr>
        <rFont val="Comfortaa"/>
        <b/>
        <color theme="1"/>
        <sz val="36.0"/>
      </rPr>
      <t>Dự án Công nghệ thông tin</t>
    </r>
    <r>
      <rPr>
        <rFont val="Comfortaa"/>
        <color theme="1"/>
        <sz val="36.0"/>
      </rPr>
      <t xml:space="preserve">
</t>
    </r>
    <r>
      <rPr>
        <rFont val="Comfortaa"/>
        <color rgb="FFF3F3F3"/>
        <sz val="22.0"/>
      </rPr>
      <t>(Ứng dụng )</t>
    </r>
  </si>
  <si>
    <t>A survey on large language models for recommendation</t>
  </si>
  <si>
    <t>Thời gian thực hiện dự án: 08/08/2026 - 21/11/2026</t>
  </si>
  <si>
    <t>AgentCF - Collaborative Learning with Autonomous Language Agents for Recommender Systems</t>
  </si>
  <si>
    <t>Today:</t>
  </si>
  <si>
    <t>WWW 2024</t>
  </si>
  <si>
    <t>Amazon Review</t>
  </si>
  <si>
    <t>AgentCF</t>
  </si>
  <si>
    <t>CoRAL Collaborative Retrieval-Augmented Large Language Models Improve Long-Tail Recommendation</t>
  </si>
  <si>
    <t>KDD 2024</t>
  </si>
  <si>
    <t>Tổng chi tiết hoàn thành</t>
  </si>
  <si>
    <t>CoRAL</t>
  </si>
  <si>
    <t>Tổng chi tiết chưa hoàn thành</t>
  </si>
  <si>
    <t>Large language models are learnable planners for long-term recommendation</t>
  </si>
  <si>
    <t>Tổng</t>
  </si>
  <si>
    <t>SIGIR 2024</t>
  </si>
  <si>
    <t>Steam, Amazon Books</t>
  </si>
  <si>
    <t>BiLLP</t>
  </si>
  <si>
    <t>Large language models for generative recommendation - A survey and visionary discussions</t>
  </si>
  <si>
    <t>LREC-COLING 2024</t>
  </si>
  <si>
    <t>Let Me Do It For You Towards LLM Empowered Recommendation via Tool Learning</t>
  </si>
  <si>
    <t>Amazon Books, Yelp, ML-1M</t>
  </si>
  <si>
    <t>Tool-Rec</t>
  </si>
  <si>
    <t>MACRec A Multi-Agent Collaboration Framework for Recommendation</t>
  </si>
  <si>
    <t>Giai đoạn</t>
  </si>
  <si>
    <t>Tuần</t>
  </si>
  <si>
    <t>None</t>
  </si>
  <si>
    <t>Nhiệm vụ</t>
  </si>
  <si>
    <t>Phân công</t>
  </si>
  <si>
    <t xml:space="preserve">Check </t>
  </si>
  <si>
    <t>Chi tiết</t>
  </si>
  <si>
    <t>Ghi chú</t>
  </si>
  <si>
    <t xml:space="preserve">Theo dõi </t>
  </si>
  <si>
    <t>Giai đoạn 1 (08/2026): Thực hiện khảo sát các bài báo nghiên cứu khoa học về Agentic RAG</t>
  </si>
  <si>
    <t xml:space="preserve"> Tuần 33: 11/8 - 17/8</t>
  </si>
  <si>
    <t>RAH - Recsys–Assistant–Human A Human-Centered Recommendation Framework with LLM Agents</t>
  </si>
  <si>
    <t>Quân Anh</t>
  </si>
  <si>
    <t>Amazon Books, Amazon VIdeo Games, Amazon Movies</t>
  </si>
  <si>
    <t>Đọc lướt lần 1 để lọc ra các bài báo</t>
  </si>
  <si>
    <t>RAH</t>
  </si>
  <si>
    <t>Recai Leveraging large language models for next-generation recommender systems</t>
  </si>
  <si>
    <t>RecAI</t>
  </si>
  <si>
    <t>Thiên Phúc</t>
  </si>
  <si>
    <t xml:space="preserve">Thu thập các bài báo được </t>
  </si>
  <si>
    <t xml:space="preserve">Tuần 34: 18/8 - 24/8 </t>
  </si>
  <si>
    <t>Recommender AI - Agent Integrating Large Language Models for Interactive Recommendations</t>
  </si>
  <si>
    <t>ACM Transactions on Information Systems</t>
  </si>
  <si>
    <t>Steam, MovieLens, Amazon Beauty</t>
  </si>
  <si>
    <t>InteRecAgent</t>
  </si>
  <si>
    <t>Thiên Phúc, Anh Quân</t>
  </si>
  <si>
    <t>Recommender Systems in the Era of Large Language Models (LLMs)</t>
  </si>
  <si>
    <t>IEEE Transactions on Knowledge and Data Engineering</t>
  </si>
  <si>
    <t>Retrieval-Augmented Conversational Recommendation with Prompt-Based Semi-Structured Natural Language State Tracking</t>
  </si>
  <si>
    <t xml:space="preserve"> Tuần 35: 24/8 - 31/8</t>
  </si>
  <si>
    <t>RA-Rec</t>
  </si>
  <si>
    <t>A survey of foundation model-powered recommender systems - From feature-based, generative to agentic paradigms</t>
  </si>
  <si>
    <t>Giai đoạn 2 (09/2025): Xây dựng khung hệ thống Agent và luồng dữ liệu, công việc trong khung hệ thống</t>
  </si>
  <si>
    <t>A survey of large language model empowered agents for recommendation and search - Towards next-generation information retrieval</t>
  </si>
  <si>
    <t>A survey on LLM-powered agents for recommender systems</t>
  </si>
  <si>
    <t>Findings of the Association for Computational Linguistics - EMNLP 2025</t>
  </si>
  <si>
    <t>Survey</t>
  </si>
  <si>
    <t>Agent0 - Leveraging LLM Agents to Discover Multi-Value Features from Text for Enhanced Recommendations</t>
  </si>
  <si>
    <t>Agent4IR 2025</t>
  </si>
  <si>
    <t>Agent0</t>
  </si>
  <si>
    <t>AgentCF++ - Memory-Enhanced LLM-Based Agents for Popularity-Aware Cross-Domain Recommendations</t>
  </si>
  <si>
    <t>SIGIR 2025</t>
  </si>
  <si>
    <t>AgentCF++</t>
  </si>
  <si>
    <t>Agentic feedback loop modeling improves recommendation and user simulation</t>
  </si>
  <si>
    <t>AgenticRAG - Tool-augmented foundation models for zero-shot explainable recommender systems</t>
  </si>
  <si>
    <t>AgenticRAG</t>
  </si>
  <si>
    <t>AgentRecBench Benchmarking LLM Agent-based Personalized Recommender Systems</t>
  </si>
  <si>
    <t>AgentRecBench</t>
  </si>
  <si>
    <t>AlignUser Human-Aligned LLM Agents via World Models for Recommender System Evaluation</t>
  </si>
  <si>
    <t>AlignUSER</t>
  </si>
  <si>
    <t>Giai đoạn 3 (10/2026): Xây dựng các công cụ trong khung hệ thống Agent</t>
  </si>
  <si>
    <t>ARAG - Agentic Retrieval Augmented Generation for Personalized Recommendation</t>
  </si>
  <si>
    <t>ARAG</t>
  </si>
  <si>
    <t>CARTS Collaborative Agents for Recommendation Textual Summarization</t>
  </si>
  <si>
    <t>ICML 2025</t>
  </si>
  <si>
    <t>CARTS</t>
  </si>
  <si>
    <t>Cloud-Device Collaborative Agents for Sequential Recommendation</t>
  </si>
  <si>
    <t>CDA4Rec</t>
  </si>
  <si>
    <t>Collab-REC - An LLM-based Agentic Framework for Balancing Recommendations in Tourism</t>
  </si>
  <si>
    <t>Collab-REC</t>
  </si>
  <si>
    <t>Constraint-Aware Route Recommendation from Natural Language via Hierarchical LLM Agents</t>
  </si>
  <si>
    <t>RouteLLM</t>
  </si>
  <si>
    <t>Expectation confirmation preference optimization for multi-turn conversational recommendation agent</t>
  </si>
  <si>
    <t>Findings of the Association for Computational Linguistics - ACL 2025</t>
  </si>
  <si>
    <t>ECPO</t>
  </si>
  <si>
    <t>Get the Agents Drunk Memory Perturbations in Autonomous Agent-based Recommender Systems</t>
  </si>
  <si>
    <t>DrunkAgent</t>
  </si>
  <si>
    <t xml:space="preserve">Giai đoạn 4 (11/2026): Thực hiện thí nghiệm và thu thập kết quả </t>
  </si>
  <si>
    <t>iAgent - LLM Agent as a Shield between User and Recommender Systems</t>
  </si>
  <si>
    <t>Instruct²Rec, InstructAgent</t>
  </si>
  <si>
    <t>Intelligent Agents with Adaptive Knowledge Fusion for Personalized Recommendation</t>
  </si>
  <si>
    <t>AKF-Agent</t>
  </si>
  <si>
    <t>Interactive recommendation agent with active user commands</t>
  </si>
  <si>
    <t>IRF, RecBot</t>
  </si>
  <si>
    <t>Full Name</t>
  </si>
  <si>
    <t>Abbreviation</t>
  </si>
  <si>
    <t>Type</t>
  </si>
  <si>
    <t>CORE Rank</t>
  </si>
  <si>
    <t>AAAI Conference on Artificial Intelligence</t>
  </si>
  <si>
    <t>AAAI</t>
  </si>
  <si>
    <t>Conference</t>
  </si>
  <si>
    <t>A*</t>
  </si>
  <si>
    <t>Annual Meeting of the Association for Computational Linguistics</t>
  </si>
  <si>
    <t>ACL</t>
  </si>
  <si>
    <t>ACM Conference on Human Factors in Computing Systems</t>
  </si>
  <si>
    <t>CHI</t>
  </si>
  <si>
    <t>International Conference on Machine Learning</t>
  </si>
  <si>
    <t>ICML</t>
  </si>
  <si>
    <t>ACM SIGKDD Conference on Knowledge Discovery and Data Mining</t>
  </si>
  <si>
    <t>KDD</t>
  </si>
  <si>
    <t>International ACM SIGIR Conference on Research and Development in Information Retrieval</t>
  </si>
  <si>
    <t>SIGIR</t>
  </si>
  <si>
    <t>The Web Conference</t>
  </si>
  <si>
    <t>WWW</t>
  </si>
  <si>
    <t>ACM Conference on Recommender Systems</t>
  </si>
  <si>
    <t>RecSys</t>
  </si>
  <si>
    <t>A</t>
  </si>
  <si>
    <t>Pacific-Asia Conference on Knowledge Discovery and Data Mining</t>
  </si>
  <si>
    <t>PAKDD</t>
  </si>
  <si>
    <t>Joint International Conference on Computational Linguistics, Language Resources and Evaluation</t>
  </si>
  <si>
    <t>LREC-COLING</t>
  </si>
  <si>
    <t>A / C</t>
  </si>
  <si>
    <t>ACM Conference on User Modeling, Adaptation and Personalization</t>
  </si>
  <si>
    <t>UMAP (Adjunct)</t>
  </si>
  <si>
    <t>Conference Track</t>
  </si>
  <si>
    <t>A (Main conf)</t>
  </si>
  <si>
    <t>ACM Conference on Conversational User Interfaces</t>
  </si>
  <si>
    <t>ACM CUI</t>
  </si>
  <si>
    <t>Unranked</t>
  </si>
  <si>
    <t>ACM Multimedia Asia</t>
  </si>
  <si>
    <t>ACM MMAsia</t>
  </si>
  <si>
    <t>Findings of the Association for Computational Linguistics</t>
  </si>
  <si>
    <t>Findings of ACL / EMNLP</t>
  </si>
  <si>
    <t>N/A</t>
  </si>
  <si>
    <t>Agent for Information Retrieval Workshop</t>
  </si>
  <si>
    <t>Agent4IR</t>
  </si>
  <si>
    <t>Workshop</t>
  </si>
  <si>
    <t>ICML Multi-Agent Systems Workshop</t>
  </si>
  <si>
    <t>ICML MAS</t>
  </si>
  <si>
    <t>ACM TOIS</t>
  </si>
  <si>
    <t>Journal</t>
  </si>
  <si>
    <t>IEEE TKDE</t>
  </si>
  <si>
    <t>Foundations and Trends in Privacy and Security</t>
  </si>
  <si>
    <t>FnT Privacy &amp; Sec.</t>
  </si>
  <si>
    <t>ACM Transactions on Recommender Systems</t>
  </si>
  <si>
    <t>ACM TORS</t>
  </si>
  <si>
    <t>ItemRAG - Retrieval-Augmented Recommendation with Item-Side Knowledge</t>
  </si>
  <si>
    <t>ItemRAG</t>
  </si>
  <si>
    <t>Large Language Model-Based Recommendation System Agents</t>
  </si>
  <si>
    <t>LLMRecAgent</t>
  </si>
  <si>
    <t>Large language models empowered personalized web agents</t>
  </si>
  <si>
    <t>The Web Conference (WWW) 2025</t>
  </si>
  <si>
    <t>PUMA</t>
  </si>
  <si>
    <t>MADREC A Multi-Aspect Driven LLM Agent for Explainable and Adaptive Recommendation</t>
  </si>
  <si>
    <t>MADREC</t>
  </si>
  <si>
    <t>MAP Multi-User Personalization with Collaborative LLM-Powered Agents</t>
  </si>
  <si>
    <t>CHI 2025</t>
  </si>
  <si>
    <t>MAP</t>
  </si>
  <si>
    <t>MAS4POI - A multi-agents collaboration system for next poi recommendation</t>
  </si>
  <si>
    <t>PAKDD 2025</t>
  </si>
  <si>
    <t>MAS4POI</t>
  </si>
  <si>
    <t>MATCHA - Can multi-agent collaboration build a trustworthy conversational recommender</t>
  </si>
  <si>
    <t>ICML MAS Workshop 2025</t>
  </si>
  <si>
    <t>MATCHA</t>
  </si>
  <si>
    <t>MoRE A mixture of reflectors framework for large language model-based sequential recommendation</t>
  </si>
  <si>
    <t>RecSys 2025</t>
  </si>
  <si>
    <t>MoRE</t>
  </si>
  <si>
    <t>R4ec A reasoning, reflection, and refinement framework for recommendation systems</t>
  </si>
  <si>
    <t>R4EC</t>
  </si>
  <si>
    <t>Re2llm Reflective reinforcement large language model for session-based recommendation</t>
  </si>
  <si>
    <t>AAAI 2025</t>
  </si>
  <si>
    <t>Re2LLM</t>
  </si>
  <si>
    <t>Recommender systems meet large language model agents - A survey</t>
  </si>
  <si>
    <t>RecUserSim A Realistic and Diverse User Simulator for Evaluating Conversational Recommender Systems</t>
  </si>
  <si>
    <t>RecUserSim</t>
  </si>
  <si>
    <t>Rethinking Group Recommender Systems in the Era of Generative AI From One-Shot Recommendations to Agentic Group Decision Support</t>
  </si>
  <si>
    <t>Retrieval-Augmented Recommendation Explanation Generation with Hierarchical Aggregation</t>
  </si>
  <si>
    <t>REXHA</t>
  </si>
  <si>
    <t>RuleAgent Discovering Rules for Recommendation Denoising with Autonomous Language Agents</t>
  </si>
  <si>
    <t>RuleAgent</t>
  </si>
  <si>
    <t>Smarteats Investigating the effects of customizable conversational agent in dietary recommendations</t>
  </si>
  <si>
    <t>ACM CUI 2025</t>
  </si>
  <si>
    <t>SmartEats</t>
  </si>
  <si>
    <t>Srlf An agent-driven set-wise reflective learning framework for sequential recommendation</t>
  </si>
  <si>
    <t>AAAI 2026</t>
  </si>
  <si>
    <t>SRLF</t>
  </si>
  <si>
    <t>Stealthy LLM-Driven Data Poisoning Attacks against Embedding-Based Retrieval-Augmented Recommender Systems</t>
  </si>
  <si>
    <t>UMAP Adjunct 2025</t>
  </si>
  <si>
    <t>The Efficiency vs. Accuracy Trade-off Optimizing RAG-Enhanced LLM Recommender Systems Using Multi-Head Early Exit</t>
  </si>
  <si>
    <t>OptiRAG-Rec</t>
  </si>
  <si>
    <t>The Future is Agentic Definitions, Perspectives, and Open Challenges of Multi-Agent Recommender Systems</t>
  </si>
  <si>
    <t>Thought-augmented planning for llm-powered interactive recommender agent</t>
  </si>
  <si>
    <t>TAIRA</t>
  </si>
  <si>
    <t>Towards agentic recommender systems in the era of multimodal large language models</t>
  </si>
  <si>
    <t>Tunable LLM-based Proactive Recommendation Agent</t>
  </si>
  <si>
    <t>ACL 2025</t>
  </si>
  <si>
    <t>T-PRA</t>
  </si>
  <si>
    <t>Vibemus Proactive agentic system for music personalization</t>
  </si>
  <si>
    <t>ACM Multimedia Asia (MMAsia) 2025</t>
  </si>
  <si>
    <t>VibeMus</t>
  </si>
  <si>
    <t>AdaptJobRec - Enhancing Conversational Career Recommendation through an LLM-Powered Agentic System</t>
  </si>
  <si>
    <t>AdaptJobRec</t>
  </si>
  <si>
    <t>AgentDR Dynamic Recommendation with Implicit Item-Item Relations via LLM-based Agents</t>
  </si>
  <si>
    <t>The Web Conference (WWW) 2026</t>
  </si>
  <si>
    <t>AgentDR</t>
  </si>
  <si>
    <t>Autonomous Information Seeking A Roadmap for Agentic Recommender Systems</t>
  </si>
  <si>
    <t>LLMs as Orchestrators - Constraint-compliant multi-agent optimization for recommendation systems</t>
  </si>
  <si>
    <t>WWW 2026</t>
  </si>
  <si>
    <t>LLMOrch</t>
  </si>
  <si>
    <t>MemRec Collaborative Memory-Augmented Agentic Recommender System</t>
  </si>
  <si>
    <t>ACL 2026</t>
  </si>
  <si>
    <t>MemRec</t>
  </si>
  <si>
    <t>Multi-agent collaborative filtering Orchestrating users and items for agentic recommendations</t>
  </si>
  <si>
    <t>MultiCF</t>
  </si>
  <si>
    <t>RAG-VisualRec An Open Resource for Vision-and Text-Enhanced Retrieval-Augmented Generation in Recommendation</t>
  </si>
  <si>
    <t>RAG-VisualRec</t>
  </si>
  <si>
    <t>VRAgent-R1 Boosting video recommendation with mllm-based agents via reinforcement learning</t>
  </si>
  <si>
    <t>VRAgent-R1</t>
  </si>
  <si>
    <t>https://drive.google.com/drive/folders/13Rct7N7esgyEsuoeYF9hsRbElAynyVwO?usp=sharing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</si>
</sst>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Georgia"/>
      <scheme val="minor"/>
    </font>
    <font>
      <color theme="1"/>
      <name val="Serif"/>
    </font>
    <font>
      <sz val="12.0"/>
      <color theme="1"/>
      <name val="Georgia"/>
      <scheme val="minor"/>
    </font>
    <font>
      <color theme="1"/>
      <name val="Georgia"/>
      <scheme val="minor"/>
    </font>
    <font>
      <sz val="12.0"/>
      <color theme="1"/>
      <name val="Serif"/>
    </font>
    <font>
      <color theme="1"/>
      <name val="Comfortaa"/>
    </font>
    <font>
      <b/>
      <sz val="15.0"/>
      <color theme="1"/>
      <name val="Serif"/>
    </font>
    <font>
      <sz val="23.0"/>
      <color theme="1"/>
      <name val="Comfortaa"/>
    </font>
    <font>
      <b/>
      <u/>
      <sz val="16.0"/>
      <color rgb="FF000000"/>
      <name val="Comfortaa"/>
    </font>
    <font>
      <b/>
      <sz val="15.0"/>
      <color theme="1"/>
      <name val="Comfortaa"/>
    </font>
    <font>
      <sz val="15.0"/>
      <color theme="1"/>
      <name val="Comfortaa"/>
    </font>
    <font>
      <sz val="22.0"/>
      <color theme="1"/>
      <name val="Comfortaa"/>
    </font>
    <font>
      <b/>
      <sz val="24.0"/>
      <color theme="1"/>
      <name val="Comfortaa"/>
    </font>
    <font>
      <b/>
      <color theme="1"/>
      <name val="Comfortaa"/>
    </font>
    <font>
      <color rgb="FFFF0000"/>
      <name val="Comfortaa"/>
    </font>
    <font>
      <b/>
      <sz val="15.0"/>
      <color rgb="FFFFFFFF"/>
      <name val="Comfortaa"/>
    </font>
    <font>
      <b/>
      <sz val="15.0"/>
      <color rgb="FFFFFFFF"/>
      <name val="Serif"/>
    </font>
    <font/>
    <font>
      <b/>
      <sz val="17.0"/>
      <color theme="1"/>
      <name val="Serif"/>
    </font>
    <font>
      <sz val="12.0"/>
      <color theme="1"/>
      <name val="Comfortaa"/>
    </font>
    <font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000000"/>
      <name val="Seri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49" xfId="0" applyAlignment="1" applyFont="1" applyNumberFormat="1">
      <alignment shrinkToFit="0" vertical="center" wrapText="1"/>
    </xf>
    <xf borderId="0" fillId="2" fontId="4" numFmtId="0" xfId="0" applyAlignment="1" applyFont="1">
      <alignment readingOrder="0" shrinkToFit="0" vertical="center" wrapText="0"/>
    </xf>
    <xf borderId="0" fillId="2" fontId="2" numFmtId="49" xfId="0" applyAlignment="1" applyFont="1" applyNumberForma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3" numFmtId="49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5" numFmtId="0" xfId="0" applyAlignment="1" applyFont="1">
      <alignment horizontal="center" readingOrder="0"/>
    </xf>
    <xf borderId="0" fillId="0" fontId="5" numFmtId="0" xfId="0" applyFont="1"/>
    <xf borderId="1" fillId="0" fontId="6" numFmtId="0" xfId="0" applyAlignment="1" applyBorder="1" applyFont="1">
      <alignment readingOrder="0" vertical="center"/>
    </xf>
    <xf borderId="0" fillId="0" fontId="2" numFmtId="49" xfId="0" applyAlignment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 vertical="center"/>
    </xf>
    <xf borderId="0" fillId="0" fontId="11" numFmtId="14" xfId="0" applyAlignment="1" applyFont="1" applyNumberFormat="1">
      <alignment shrinkToFit="0" wrapText="1"/>
    </xf>
    <xf borderId="0" fillId="0" fontId="12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5" numFmtId="0" xfId="0" applyAlignment="1" applyFont="1">
      <alignment vertical="center"/>
    </xf>
    <xf borderId="0" fillId="0" fontId="14" numFmtId="0" xfId="0" applyAlignment="1" applyFont="1">
      <alignment readingOrder="0" shrinkToFit="0" wrapText="1"/>
    </xf>
    <xf borderId="1" fillId="3" fontId="15" numFmtId="0" xfId="0" applyAlignment="1" applyBorder="1" applyFill="1" applyFont="1">
      <alignment horizontal="center" readingOrder="0"/>
    </xf>
    <xf borderId="1" fillId="3" fontId="16" numFmtId="0" xfId="0" applyAlignment="1" applyBorder="1" applyFont="1">
      <alignment horizontal="center" readingOrder="0" vertical="center"/>
    </xf>
    <xf borderId="1" fillId="3" fontId="15" numFmtId="0" xfId="0" applyAlignment="1" applyBorder="1" applyFont="1">
      <alignment horizontal="center" readingOrder="0" vertical="center"/>
    </xf>
    <xf borderId="1" fillId="3" fontId="15" numFmtId="0" xfId="0" applyAlignment="1" applyBorder="1" applyFont="1">
      <alignment horizontal="center" readingOrder="0" shrinkToFit="0" wrapText="1"/>
    </xf>
    <xf borderId="2" fillId="3" fontId="15" numFmtId="0" xfId="0" applyAlignment="1" applyBorder="1" applyFont="1">
      <alignment horizontal="center" readingOrder="0"/>
    </xf>
    <xf borderId="3" fillId="0" fontId="17" numFmtId="0" xfId="0" applyBorder="1" applyFont="1"/>
    <xf borderId="4" fillId="0" fontId="17" numFmtId="0" xfId="0" applyBorder="1" applyFont="1"/>
    <xf borderId="0" fillId="0" fontId="10" numFmtId="0" xfId="0" applyAlignment="1" applyFont="1">
      <alignment horizontal="center"/>
    </xf>
    <xf borderId="5" fillId="0" fontId="18" numFmtId="0" xfId="0" applyAlignment="1" applyBorder="1" applyFont="1">
      <alignment readingOrder="0" shrinkToFit="0" textRotation="0" vertical="center" wrapText="1"/>
    </xf>
    <xf borderId="5" fillId="4" fontId="4" numFmtId="0" xfId="0" applyAlignment="1" applyBorder="1" applyFill="1" applyFont="1">
      <alignment readingOrder="0" vertical="center"/>
    </xf>
    <xf borderId="1" fillId="4" fontId="19" numFmtId="0" xfId="0" applyAlignment="1" applyBorder="1" applyFont="1">
      <alignment readingOrder="0" vertical="center"/>
    </xf>
    <xf borderId="1" fillId="4" fontId="19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vertical="center" wrapText="1"/>
    </xf>
    <xf borderId="1" fillId="4" fontId="19" numFmtId="0" xfId="0" applyAlignment="1" applyBorder="1" applyFont="1">
      <alignment readingOrder="0" shrinkToFit="0" vertical="center" wrapText="1"/>
    </xf>
    <xf borderId="5" fillId="4" fontId="19" numFmtId="0" xfId="0" applyAlignment="1" applyBorder="1" applyFont="1">
      <alignment horizontal="center" readingOrder="0" vertical="center"/>
    </xf>
    <xf borderId="5" fillId="4" fontId="19" numFmtId="9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 shrinkToFit="0" vertical="center" wrapText="0"/>
    </xf>
    <xf borderId="5" fillId="0" fontId="19" numFmtId="9" xfId="0" applyAlignment="1" applyBorder="1" applyFont="1" applyNumberFormat="1">
      <alignment horizontal="center" vertical="center"/>
    </xf>
    <xf borderId="1" fillId="0" fontId="3" numFmtId="0" xfId="0" applyBorder="1" applyFont="1"/>
    <xf borderId="6" fillId="0" fontId="17" numFmtId="0" xfId="0" applyBorder="1" applyFont="1"/>
    <xf borderId="7" fillId="0" fontId="17" numFmtId="0" xfId="0" applyBorder="1" applyFont="1"/>
    <xf borderId="7" fillId="4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/>
    </xf>
    <xf borderId="6" fillId="4" fontId="4" numFmtId="0" xfId="0" applyAlignment="1" applyBorder="1" applyFont="1">
      <alignment readingOrder="0" vertical="center"/>
    </xf>
    <xf borderId="1" fillId="5" fontId="19" numFmtId="0" xfId="0" applyAlignment="1" applyBorder="1" applyFill="1" applyFont="1">
      <alignment readingOrder="0" shrinkToFit="0" vertical="center" wrapText="1"/>
    </xf>
    <xf borderId="5" fillId="5" fontId="4" numFmtId="0" xfId="0" applyAlignment="1" applyBorder="1" applyFont="1">
      <alignment readingOrder="0" vertical="center"/>
    </xf>
    <xf borderId="1" fillId="5" fontId="19" numFmtId="0" xfId="0" applyAlignment="1" applyBorder="1" applyFont="1">
      <alignment readingOrder="0"/>
    </xf>
    <xf borderId="1" fillId="5" fontId="4" numFmtId="0" xfId="0" applyAlignment="1" applyBorder="1" applyFont="1">
      <alignment readingOrder="0" shrinkToFit="0" vertical="center" wrapText="1"/>
    </xf>
    <xf borderId="5" fillId="5" fontId="19" numFmtId="0" xfId="0" applyAlignment="1" applyBorder="1" applyFont="1">
      <alignment horizontal="center" vertical="center"/>
    </xf>
    <xf borderId="5" fillId="5" fontId="19" numFmtId="9" xfId="0" applyAlignment="1" applyBorder="1" applyFont="1" applyNumberFormat="1">
      <alignment horizontal="center" readingOrder="0" vertical="center"/>
    </xf>
    <xf borderId="1" fillId="4" fontId="19" numFmtId="0" xfId="0" applyAlignment="1" applyBorder="1" applyFont="1">
      <alignment horizontal="center" readingOrder="0" vertical="center"/>
    </xf>
    <xf borderId="1" fillId="4" fontId="19" numFmtId="9" xfId="0" applyAlignment="1" applyBorder="1" applyFont="1" applyNumberFormat="1">
      <alignment horizontal="center" vertical="center"/>
    </xf>
    <xf borderId="1" fillId="0" fontId="19" numFmtId="9" xfId="0" applyAlignment="1" applyBorder="1" applyFont="1" applyNumberFormat="1">
      <alignment horizontal="center" vertical="center"/>
    </xf>
    <xf borderId="1" fillId="5" fontId="19" numFmtId="0" xfId="0" applyAlignment="1" applyBorder="1" applyFont="1">
      <alignment readingOrder="0" vertical="center"/>
    </xf>
    <xf borderId="1" fillId="5" fontId="19" numFmtId="0" xfId="0" applyAlignment="1" applyBorder="1" applyFont="1">
      <alignment horizontal="center" vertical="center"/>
    </xf>
    <xf borderId="1" fillId="5" fontId="19" numFmtId="9" xfId="0" applyAlignment="1" applyBorder="1" applyFont="1" applyNumberFormat="1">
      <alignment horizontal="center" readingOrder="0" vertical="center"/>
    </xf>
    <xf borderId="1" fillId="0" fontId="5" numFmtId="0" xfId="0" applyBorder="1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6" fontId="4" numFmtId="0" xfId="0" applyAlignment="1" applyFill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1"/>
    </xf>
    <xf borderId="5" fillId="4" fontId="19" numFmtId="0" xfId="0" applyAlignment="1" applyBorder="1" applyFont="1">
      <alignment readingOrder="0" vertical="center"/>
    </xf>
    <xf borderId="0" fillId="6" fontId="2" numFmtId="0" xfId="0" applyAlignment="1" applyFont="1">
      <alignment shrinkToFit="0" vertical="center" wrapText="0"/>
    </xf>
    <xf borderId="0" fillId="6" fontId="2" numFmtId="49" xfId="0" applyAlignment="1" applyFont="1" applyNumberFormat="1">
      <alignment readingOrder="0" shrinkToFit="0" vertical="center" wrapText="0"/>
    </xf>
    <xf borderId="0" fillId="6" fontId="2" numFmtId="49" xfId="0" applyAlignment="1" applyFont="1" applyNumberFormat="1">
      <alignment shrinkToFit="0" vertical="center" wrapText="0"/>
    </xf>
    <xf borderId="0" fillId="6" fontId="20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3" numFmtId="49" xfId="0" applyAlignment="1" applyFont="1" applyNumberFormat="1">
      <alignment shrinkToFit="0" vertical="center" wrapText="0"/>
    </xf>
    <xf borderId="5" fillId="5" fontId="19" numFmtId="0" xfId="0" applyAlignment="1" applyBorder="1" applyFont="1">
      <alignment readingOrder="0" vertical="center"/>
    </xf>
    <xf borderId="1" fillId="5" fontId="19" numFmtId="0" xfId="0" applyAlignment="1" applyBorder="1" applyFont="1">
      <alignment shrinkToFit="0" vertical="center" wrapText="1"/>
    </xf>
    <xf borderId="0" fillId="2" fontId="2" numFmtId="0" xfId="0" applyAlignment="1" applyFont="1">
      <alignment shrinkToFit="0" vertical="center" wrapText="0"/>
    </xf>
    <xf borderId="1" fillId="5" fontId="3" numFmtId="0" xfId="0" applyBorder="1" applyFont="1"/>
    <xf borderId="5" fillId="5" fontId="19" numFmtId="9" xfId="0" applyAlignment="1" applyBorder="1" applyFont="1" applyNumberFormat="1">
      <alignment horizontal="center" vertical="center"/>
    </xf>
    <xf borderId="0" fillId="0" fontId="5" numFmtId="0" xfId="0" applyAlignment="1" applyFont="1">
      <alignment vertical="bottom"/>
    </xf>
    <xf borderId="0" fillId="0" fontId="21" numFmtId="0" xfId="0" applyAlignment="1" applyFont="1">
      <alignment horizontal="center" readingOrder="0" shrinkToFit="0" vertical="center" wrapText="0"/>
    </xf>
    <xf borderId="8" fillId="7" fontId="22" numFmtId="0" xfId="0" applyAlignment="1" applyBorder="1" applyFill="1" applyFont="1">
      <alignment horizontal="left" readingOrder="0" shrinkToFit="0" vertical="center" wrapText="0"/>
    </xf>
    <xf borderId="8" fillId="7" fontId="22" numFmtId="0" xfId="0" applyAlignment="1" applyBorder="1" applyFont="1">
      <alignment horizontal="center" readingOrder="0" shrinkToFit="0" vertical="center" wrapText="0"/>
    </xf>
    <xf borderId="8" fillId="8" fontId="23" numFmtId="0" xfId="0" applyAlignment="1" applyBorder="1" applyFill="1" applyFont="1">
      <alignment horizontal="left" readingOrder="0" shrinkToFit="0" vertical="center" wrapText="0"/>
    </xf>
    <xf borderId="8" fillId="8" fontId="22" numFmtId="0" xfId="0" applyAlignment="1" applyBorder="1" applyFont="1">
      <alignment horizontal="left" readingOrder="0" shrinkToFit="0" vertical="center" wrapText="0"/>
    </xf>
    <xf borderId="8" fillId="8" fontId="22" numFmtId="0" xfId="0" applyAlignment="1" applyBorder="1" applyFont="1">
      <alignment horizontal="center" readingOrder="0" shrinkToFit="0" vertical="center" wrapText="0"/>
    </xf>
    <xf borderId="8" fillId="7" fontId="23" numFmtId="0" xfId="0" applyAlignment="1" applyBorder="1" applyFont="1">
      <alignment horizontal="left" readingOrder="0" shrinkToFit="0" vertical="center" wrapText="0"/>
    </xf>
    <xf borderId="0" fillId="0" fontId="22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2" numFmtId="49" xfId="0" applyAlignment="1" applyFont="1" applyNumberForma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9" fontId="2" numFmtId="0" xfId="0" applyAlignment="1" applyFill="1" applyFont="1">
      <alignment readingOrder="0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9" fontId="2" numFmtId="0" xfId="0" applyAlignment="1" applyFont="1">
      <alignment readingOrder="0" shrinkToFit="0" vertical="center" wrapText="1"/>
    </xf>
    <xf borderId="0" fillId="9" fontId="2" numFmtId="0" xfId="0" applyAlignment="1" applyFont="1">
      <alignment shrinkToFit="0" vertical="center" wrapText="0"/>
    </xf>
    <xf borderId="0" fillId="9" fontId="2" numFmtId="49" xfId="0" applyAlignment="1" applyFont="1" applyNumberFormat="1">
      <alignment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color rgb="FFC0F4AA"/>
      </font>
      <fill>
        <patternFill patternType="solid">
          <fgColor rgb="FF63C697"/>
          <bgColor rgb="FF63C697"/>
        </patternFill>
      </fill>
      <border/>
    </dxf>
    <dxf>
      <font/>
      <fill>
        <patternFill patternType="solid">
          <fgColor rgb="FF53FCAC"/>
          <bgColor rgb="FF53FCAC"/>
        </patternFill>
      </fill>
      <border/>
    </dxf>
    <dxf>
      <font/>
      <fill>
        <patternFill patternType="solid">
          <fgColor rgb="FF3DFF3D"/>
          <bgColor rgb="FF3DFF3D"/>
        </patternFill>
      </fill>
      <border/>
    </dxf>
  </dxfs>
  <tableStyles count="2">
    <tableStyle count="4" pivot="0" name="Survey Paper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onfereceJournal ranks-style">
      <tableStyleElement dxfId="1" type="headerRow"/>
      <tableStyleElement dxfId="2" type="firstRowStripe"/>
      <tableStyleElement dxfId="4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6FA8DC"/>
                </a:solidFill>
                <a:latin typeface="Roboto"/>
              </a:defRPr>
            </a:pPr>
            <a:r>
              <a:rPr b="1" sz="2400">
                <a:solidFill>
                  <a:srgbClr val="6FA8DC"/>
                </a:solidFill>
                <a:latin typeface="Roboto"/>
              </a:rPr>
              <a:t>Tiến trình Project</a:t>
            </a:r>
          </a:p>
        </c:rich>
      </c:tx>
      <c:overlay val="0"/>
    </c:title>
    <c:plotArea>
      <c:layout>
        <c:manualLayout>
          <c:xMode val="edge"/>
          <c:yMode val="edge"/>
          <c:x val="0.03421926910299004"/>
          <c:y val="0.1586021505376344"/>
          <c:w val="0.9382059800664451"/>
          <c:h val="0.7591397849462365"/>
        </c:manualLayout>
      </c:layout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47BF13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Process!$N$5:$N$6</c:f>
            </c:strRef>
          </c:cat>
          <c:val>
            <c:numRef>
              <c:f>Process!$N$5:$N$6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31484C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3552825</xdr:colOff>
      <xdr:row>6</xdr:row>
      <xdr:rowOff>9525</xdr:rowOff>
    </xdr:from>
    <xdr:ext cx="3248025" cy="2362200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8" displayName="Survey_Papers" name="Survey_Papers" id="1">
  <tableColumns count="9">
    <tableColumn name="Title" id="1"/>
    <tableColumn name="Year" id="2"/>
    <tableColumn name="Conf/Journal" id="3"/>
    <tableColumn name="Dataset" id="4"/>
    <tableColumn name="Model" id="5"/>
    <tableColumn name="Abstract" id="6"/>
    <tableColumn name="Filter" id="7"/>
    <tableColumn name="Read" id="8"/>
    <tableColumn name="PDF" id="9"/>
  </tableColumns>
  <tableStyleInfo name="Survey Papers-style" showColumnStripes="0" showFirstColumn="1" showLastColumn="1" showRowStripes="1"/>
</table>
</file>

<file path=xl/tables/table2.xml><?xml version="1.0" encoding="utf-8"?>
<table xmlns="http://schemas.openxmlformats.org/spreadsheetml/2006/main" ref="A1:D21" displayName="Bảng_1" name="Bảng_1" id="2">
  <tableColumns count="4">
    <tableColumn name="Full Name" id="1"/>
    <tableColumn name="Abbreviation" id="2"/>
    <tableColumn name="Type" id="3"/>
    <tableColumn name="CORE Rank" id="4"/>
  </tableColumns>
  <tableStyleInfo name="ConfereceJournal ra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3Rct7N7esgyEsuoeYF9hsRbElAynyVwO?usp=sharin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4.88"/>
    <col customWidth="1" min="2" max="3" width="30.63"/>
    <col customWidth="1" min="4" max="4" width="17.13"/>
    <col customWidth="1" min="5" max="5" width="9.75"/>
    <col customWidth="1" min="6" max="6" width="45.13"/>
    <col customWidth="1" min="7" max="7" width="31.25"/>
    <col customWidth="1" min="8" max="8" width="10.38"/>
    <col customWidth="1" min="9" max="9" width="10.13"/>
    <col customWidth="1" min="10" max="10" width="11.0"/>
    <col customWidth="1" hidden="1" min="11" max="11" width="16.38"/>
    <col customWidth="1" min="13" max="13" width="29.75"/>
  </cols>
  <sheetData>
    <row r="1">
      <c r="A1" s="20" t="s">
        <v>20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ht="24.75" customHeight="1">
      <c r="A2" s="22" t="s">
        <v>22</v>
      </c>
      <c r="B2" s="24"/>
      <c r="C2" s="24">
        <f>DATE(2026,11,21)-TODAY()</f>
        <v>95</v>
      </c>
      <c r="D2" s="25"/>
      <c r="G2" s="26" t="s">
        <v>24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3.25" customHeight="1">
      <c r="A3" s="28"/>
      <c r="B3" s="29"/>
      <c r="C3" s="29"/>
      <c r="G3" s="30">
        <f>TODAY()</f>
        <v>46252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ht="20.25" customHeight="1">
      <c r="A4" s="31" t="str">
        <f> N5 &amp;"/"&amp;N7</f>
        <v>0/122</v>
      </c>
      <c r="D4" s="21"/>
      <c r="E4" s="21"/>
      <c r="F4" s="32"/>
      <c r="G4" s="32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D5" s="21"/>
      <c r="E5" s="21"/>
      <c r="F5" s="32"/>
      <c r="G5" s="32"/>
      <c r="H5" s="21"/>
      <c r="I5" s="21"/>
      <c r="J5" s="21"/>
      <c r="K5" s="21"/>
      <c r="L5" s="21"/>
      <c r="M5" s="34" t="s">
        <v>30</v>
      </c>
      <c r="N5" s="21">
        <f>COUNTIF(E30:E949, TRUE)</f>
        <v>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B6" s="35"/>
      <c r="C6" s="35"/>
      <c r="D6" s="21"/>
      <c r="E6" s="21"/>
      <c r="F6" s="32"/>
      <c r="G6" s="32"/>
      <c r="H6" s="21"/>
      <c r="I6" s="36"/>
      <c r="J6" s="36"/>
      <c r="K6" s="36"/>
      <c r="L6" s="21"/>
      <c r="M6" s="34" t="s">
        <v>32</v>
      </c>
      <c r="N6" s="21">
        <f>COUNTIF(E30:E949, FALSE)</f>
        <v>122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B7" s="35"/>
      <c r="C7" s="35"/>
      <c r="D7" s="21"/>
      <c r="E7" s="21"/>
      <c r="F7" s="32"/>
      <c r="G7" s="32"/>
      <c r="H7" s="21"/>
      <c r="I7" s="37"/>
      <c r="J7" s="21"/>
      <c r="K7" s="21"/>
      <c r="L7" s="21"/>
      <c r="M7" s="38" t="s">
        <v>34</v>
      </c>
      <c r="N7" s="39">
        <f> N5 + N6</f>
        <v>122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B8" s="35"/>
      <c r="C8" s="35"/>
      <c r="D8" s="21"/>
      <c r="E8" s="21"/>
      <c r="G8" s="32"/>
      <c r="H8" s="21"/>
      <c r="I8" s="21"/>
      <c r="J8" s="21"/>
      <c r="K8" s="21"/>
      <c r="L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B9" s="35"/>
      <c r="C9" s="35"/>
      <c r="D9" s="21"/>
      <c r="E9" s="21"/>
      <c r="F9" s="32"/>
      <c r="G9" s="32"/>
      <c r="H9" s="21"/>
      <c r="I9" s="21"/>
      <c r="J9" s="21"/>
      <c r="K9" s="21"/>
      <c r="L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D10" s="21"/>
      <c r="E10" s="21"/>
      <c r="F10" s="32"/>
      <c r="G10" s="32"/>
      <c r="H10" s="21"/>
      <c r="I10" s="21"/>
      <c r="J10" s="21"/>
      <c r="K10" s="21"/>
      <c r="L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D11" s="21"/>
      <c r="E11" s="21"/>
      <c r="F11" s="32"/>
      <c r="G11" s="32"/>
      <c r="H11" s="21"/>
      <c r="I11" s="21"/>
      <c r="J11" s="21"/>
      <c r="K11" s="21"/>
      <c r="L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B12" s="35"/>
      <c r="C12" s="35"/>
      <c r="D12" s="21"/>
      <c r="E12" s="21"/>
      <c r="F12" s="32"/>
      <c r="G12" s="32"/>
      <c r="H12" s="21"/>
      <c r="I12" s="21"/>
      <c r="J12" s="21"/>
      <c r="K12" s="21"/>
      <c r="L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B13" s="35"/>
      <c r="C13" s="35"/>
      <c r="D13" s="21"/>
      <c r="E13" s="21"/>
      <c r="F13" s="32"/>
      <c r="G13" s="32"/>
      <c r="I13" s="21"/>
      <c r="J13" s="21"/>
      <c r="K13" s="21"/>
      <c r="L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B14" s="35"/>
      <c r="C14" s="35"/>
      <c r="D14" s="21"/>
      <c r="E14" s="21"/>
      <c r="F14" s="32"/>
      <c r="G14" s="32"/>
      <c r="I14" s="21"/>
      <c r="J14" s="21"/>
      <c r="K14" s="21"/>
      <c r="L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B15" s="35"/>
      <c r="C15" s="35"/>
      <c r="D15" s="21"/>
      <c r="E15" s="21"/>
      <c r="F15" s="32"/>
      <c r="G15" s="32"/>
      <c r="I15" s="21"/>
      <c r="J15" s="21"/>
      <c r="K15" s="21"/>
      <c r="L15" s="21"/>
      <c r="O15" s="21"/>
      <c r="P15" s="21" t="str">
        <f>IFERROR(__xludf.DUMMYFUNCTION("SPARKLINE(I30, {""charttype"",""bar""; ""max"",1; ""color1"",""green""})"),"#N/A")</f>
        <v>#N/A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35"/>
      <c r="C16" s="35"/>
      <c r="D16" s="21"/>
      <c r="E16" s="21"/>
      <c r="F16" s="32"/>
      <c r="G16" s="32"/>
      <c r="H16" s="21"/>
      <c r="I16" s="21"/>
      <c r="J16" s="21"/>
      <c r="K16" s="21"/>
      <c r="L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1"/>
      <c r="B17" s="35"/>
      <c r="C17" s="35"/>
      <c r="D17" s="21"/>
      <c r="E17" s="21"/>
      <c r="F17" s="32"/>
      <c r="G17" s="32"/>
      <c r="H17" s="21"/>
      <c r="I17" s="21"/>
      <c r="J17" s="21"/>
      <c r="K17" s="21"/>
      <c r="L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1"/>
      <c r="B18" s="35"/>
      <c r="C18" s="35"/>
      <c r="D18" s="21"/>
      <c r="E18" s="21"/>
      <c r="F18" s="32"/>
      <c r="G18" s="32"/>
      <c r="H18" s="21"/>
      <c r="I18" s="21"/>
      <c r="J18" s="21"/>
      <c r="K18" s="21"/>
      <c r="L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1"/>
      <c r="B19" s="35"/>
      <c r="C19" s="35"/>
      <c r="D19" s="21"/>
      <c r="E19" s="21"/>
      <c r="F19" s="32"/>
      <c r="G19" s="32"/>
      <c r="H19" s="21"/>
      <c r="I19" s="21"/>
      <c r="J19" s="21"/>
      <c r="K19" s="21"/>
      <c r="L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35"/>
      <c r="C20" s="35"/>
      <c r="D20" s="21"/>
      <c r="E20" s="21"/>
      <c r="F20" s="32"/>
      <c r="G20" s="32"/>
      <c r="H20" s="21"/>
      <c r="I20" s="21"/>
      <c r="J20" s="21"/>
      <c r="K20" s="21"/>
      <c r="L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1"/>
      <c r="B21" s="35"/>
      <c r="C21" s="35"/>
      <c r="D21" s="21"/>
      <c r="E21" s="21"/>
      <c r="F21" s="32"/>
      <c r="G21" s="32"/>
      <c r="H21" s="21"/>
      <c r="I21" s="21"/>
      <c r="J21" s="21"/>
      <c r="K21" s="21"/>
      <c r="L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42"/>
      <c r="C22" s="42"/>
      <c r="D22" s="21"/>
      <c r="E22" s="21"/>
      <c r="F22" s="43"/>
      <c r="G22" s="32"/>
      <c r="H22" s="34"/>
      <c r="I22" s="34"/>
      <c r="J22" s="34"/>
      <c r="K22" s="34"/>
      <c r="L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1"/>
      <c r="B23" s="42"/>
      <c r="C23" s="42"/>
      <c r="D23" s="21"/>
      <c r="E23" s="21"/>
      <c r="F23" s="32"/>
      <c r="G23" s="32"/>
      <c r="H23" s="34"/>
      <c r="L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44" t="s">
        <v>44</v>
      </c>
      <c r="B24" s="45" t="s">
        <v>45</v>
      </c>
      <c r="C24" s="46" t="s">
        <v>47</v>
      </c>
      <c r="D24" s="44" t="s">
        <v>48</v>
      </c>
      <c r="E24" s="44" t="s">
        <v>49</v>
      </c>
      <c r="F24" s="47" t="s">
        <v>50</v>
      </c>
      <c r="G24" s="47" t="s">
        <v>51</v>
      </c>
      <c r="H24" s="48" t="s">
        <v>52</v>
      </c>
      <c r="I24" s="49"/>
      <c r="J24" s="49"/>
      <c r="K24" s="50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>
      <c r="A25" s="52" t="s">
        <v>53</v>
      </c>
      <c r="B25" s="53" t="s">
        <v>54</v>
      </c>
      <c r="C25" s="54"/>
      <c r="D25" s="53" t="s">
        <v>56</v>
      </c>
      <c r="E25" s="55" t="b">
        <v>0</v>
      </c>
      <c r="F25" s="56" t="s">
        <v>58</v>
      </c>
      <c r="G25" s="57"/>
      <c r="H25" s="58" t="str">
        <f>COUNTIF(E25:E26, TRUE) &amp; "/" &amp; COUNTA(E25:E26)</f>
        <v>0/2</v>
      </c>
      <c r="I25" s="59">
        <f>COUNTIF(E25:E26, TRUE) / COUNTA(E25:E26)</f>
        <v>0</v>
      </c>
      <c r="J25" s="61">
        <f>COUNTIF(E25:E29, TRUE) / COUNTA(E25:E29)</f>
        <v>0</v>
      </c>
      <c r="K25" s="62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63"/>
      <c r="B26" s="64"/>
      <c r="C26" s="54"/>
      <c r="D26" s="65" t="s">
        <v>62</v>
      </c>
      <c r="E26" s="66" t="b">
        <v>0</v>
      </c>
      <c r="F26" s="56" t="s">
        <v>63</v>
      </c>
      <c r="G26" s="57"/>
      <c r="H26" s="64"/>
      <c r="I26" s="64"/>
      <c r="J26" s="63"/>
      <c r="K26" s="62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63"/>
      <c r="B27" s="67" t="s">
        <v>64</v>
      </c>
      <c r="C27" s="68"/>
      <c r="D27" s="69" t="s">
        <v>62</v>
      </c>
      <c r="E27" s="70" t="b">
        <v>0</v>
      </c>
      <c r="F27" s="71"/>
      <c r="G27" s="68"/>
      <c r="H27" s="72" t="str">
        <f>COUNTIF(E27:E29, TRUE) &amp; "/" &amp; COUNTA(E27:E29)</f>
        <v>0/3</v>
      </c>
      <c r="I27" s="73">
        <f>COUNTIF(E27:E29, TRUE) / COUNTA(E27:E29)</f>
        <v>0</v>
      </c>
      <c r="J27" s="63"/>
      <c r="K27" s="62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63"/>
      <c r="B28" s="63"/>
      <c r="C28" s="68"/>
      <c r="D28" s="63"/>
      <c r="E28" s="70" t="b">
        <v>0</v>
      </c>
      <c r="F28" s="68"/>
      <c r="G28" s="68"/>
      <c r="H28" s="63"/>
      <c r="I28" s="63"/>
      <c r="J28" s="63"/>
      <c r="K28" s="62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63"/>
      <c r="B29" s="63"/>
      <c r="C29" s="68"/>
      <c r="D29" s="64"/>
      <c r="E29" s="70" t="b">
        <v>0</v>
      </c>
      <c r="F29" s="68"/>
      <c r="G29" s="68"/>
      <c r="H29" s="64"/>
      <c r="I29" s="64"/>
      <c r="J29" s="64"/>
      <c r="K29" s="62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63"/>
      <c r="B30" s="63"/>
      <c r="C30" s="54"/>
      <c r="D30" s="54"/>
      <c r="E30" s="55" t="b">
        <v>0</v>
      </c>
      <c r="F30" s="57"/>
      <c r="G30" s="57"/>
      <c r="H30" s="74"/>
      <c r="I30" s="75"/>
      <c r="J30" s="76"/>
      <c r="K30" s="62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63"/>
      <c r="B31" s="63"/>
      <c r="C31" s="54"/>
      <c r="D31" s="54"/>
      <c r="E31" s="55" t="b">
        <v>0</v>
      </c>
      <c r="F31" s="57"/>
      <c r="G31" s="57"/>
      <c r="H31" s="74"/>
      <c r="I31" s="75"/>
      <c r="J31" s="76"/>
      <c r="K31" s="62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63"/>
      <c r="B32" s="63"/>
      <c r="C32" s="54"/>
      <c r="D32" s="54"/>
      <c r="E32" s="55" t="b">
        <v>0</v>
      </c>
      <c r="F32" s="57"/>
      <c r="G32" s="57"/>
      <c r="H32" s="74"/>
      <c r="I32" s="75"/>
      <c r="J32" s="76"/>
      <c r="K32" s="62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63"/>
      <c r="B33" s="64"/>
      <c r="C33" s="54"/>
      <c r="D33" s="54"/>
      <c r="E33" s="55" t="b">
        <v>0</v>
      </c>
      <c r="F33" s="57"/>
      <c r="G33" s="57"/>
      <c r="H33" s="74"/>
      <c r="I33" s="75"/>
      <c r="J33" s="76"/>
      <c r="K33" s="62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63"/>
      <c r="B34" s="53" t="s">
        <v>73</v>
      </c>
      <c r="C34" s="68"/>
      <c r="D34" s="77"/>
      <c r="E34" s="70" t="b">
        <v>0</v>
      </c>
      <c r="F34" s="68"/>
      <c r="G34" s="68"/>
      <c r="H34" s="78"/>
      <c r="I34" s="79"/>
      <c r="J34" s="76"/>
      <c r="K34" s="62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63"/>
      <c r="B35" s="63"/>
      <c r="C35" s="54"/>
      <c r="D35" s="54"/>
      <c r="E35" s="55" t="b">
        <v>0</v>
      </c>
      <c r="F35" s="57"/>
      <c r="G35" s="57"/>
      <c r="H35" s="74"/>
      <c r="I35" s="75"/>
      <c r="J35" s="76"/>
      <c r="K35" s="80"/>
      <c r="L35" s="21"/>
      <c r="M35" s="21"/>
      <c r="N35" s="21"/>
      <c r="O35" s="21"/>
      <c r="P35" s="21"/>
      <c r="Q35" s="21"/>
      <c r="R35" s="21"/>
      <c r="S35" s="21"/>
      <c r="T35" s="21"/>
    </row>
    <row r="36">
      <c r="A36" s="63"/>
      <c r="B36" s="63"/>
      <c r="C36" s="54"/>
      <c r="D36" s="54"/>
      <c r="E36" s="55" t="b">
        <v>0</v>
      </c>
      <c r="F36" s="57"/>
      <c r="G36" s="57"/>
      <c r="H36" s="74"/>
      <c r="I36" s="75"/>
      <c r="J36" s="76"/>
      <c r="K36" s="80"/>
      <c r="L36" s="21"/>
      <c r="M36" s="21"/>
      <c r="N36" s="21"/>
      <c r="O36" s="21"/>
      <c r="P36" s="21"/>
      <c r="Q36" s="21"/>
      <c r="R36" s="21"/>
      <c r="S36" s="21"/>
      <c r="T36" s="21"/>
    </row>
    <row r="37">
      <c r="A37" s="63"/>
      <c r="B37" s="63"/>
      <c r="C37" s="54"/>
      <c r="D37" s="54"/>
      <c r="E37" s="55" t="b">
        <v>0</v>
      </c>
      <c r="F37" s="57"/>
      <c r="G37" s="57"/>
      <c r="H37" s="74"/>
      <c r="I37" s="75"/>
      <c r="J37" s="76"/>
      <c r="K37" s="80"/>
      <c r="L37" s="21"/>
      <c r="M37" s="21"/>
      <c r="N37" s="21"/>
      <c r="O37" s="21"/>
      <c r="P37" s="21"/>
      <c r="Q37" s="21"/>
      <c r="R37" s="21"/>
      <c r="S37" s="21"/>
      <c r="T37" s="21"/>
    </row>
    <row r="38">
      <c r="A38" s="63"/>
      <c r="B38" s="63"/>
      <c r="C38" s="54"/>
      <c r="D38" s="54"/>
      <c r="E38" s="55" t="b">
        <v>0</v>
      </c>
      <c r="F38" s="57"/>
      <c r="G38" s="57"/>
      <c r="H38" s="74"/>
      <c r="I38" s="75"/>
      <c r="J38" s="76"/>
      <c r="K38" s="80"/>
      <c r="L38" s="21"/>
      <c r="M38" s="21"/>
      <c r="N38" s="21"/>
      <c r="O38" s="21"/>
      <c r="P38" s="21"/>
      <c r="Q38" s="21"/>
      <c r="R38" s="21"/>
      <c r="S38" s="21"/>
      <c r="T38" s="21"/>
    </row>
    <row r="39">
      <c r="A39" s="63"/>
      <c r="B39" s="63"/>
      <c r="C39" s="54"/>
      <c r="D39" s="54"/>
      <c r="E39" s="55" t="b">
        <v>0</v>
      </c>
      <c r="F39" s="57"/>
      <c r="G39" s="57"/>
      <c r="H39" s="74"/>
      <c r="I39" s="75"/>
      <c r="J39" s="76"/>
      <c r="K39" s="80"/>
      <c r="L39" s="21"/>
      <c r="M39" s="21"/>
      <c r="N39" s="21"/>
      <c r="O39" s="21"/>
      <c r="P39" s="21"/>
      <c r="Q39" s="21"/>
      <c r="R39" s="21"/>
      <c r="S39" s="21"/>
      <c r="T39" s="21"/>
    </row>
    <row r="40">
      <c r="A40" s="63"/>
      <c r="B40" s="63"/>
      <c r="C40" s="54"/>
      <c r="D40" s="54"/>
      <c r="E40" s="55" t="b">
        <v>0</v>
      </c>
      <c r="F40" s="57"/>
      <c r="G40" s="57"/>
      <c r="H40" s="74"/>
      <c r="I40" s="75"/>
      <c r="J40" s="76"/>
      <c r="K40" s="80"/>
      <c r="L40" s="21"/>
      <c r="M40" s="21"/>
      <c r="N40" s="21"/>
      <c r="O40" s="21"/>
      <c r="P40" s="21"/>
      <c r="Q40" s="21"/>
      <c r="R40" s="21"/>
      <c r="S40" s="21"/>
      <c r="T40" s="21"/>
    </row>
    <row r="41">
      <c r="A41" s="63"/>
      <c r="B41" s="64"/>
      <c r="C41" s="54"/>
      <c r="D41" s="54"/>
      <c r="E41" s="55" t="b">
        <v>0</v>
      </c>
      <c r="F41" s="57"/>
      <c r="G41" s="57"/>
      <c r="H41" s="74"/>
      <c r="I41" s="75"/>
      <c r="J41" s="76"/>
      <c r="K41" s="80"/>
      <c r="L41" s="21"/>
      <c r="M41" s="21"/>
      <c r="N41" s="21"/>
      <c r="O41" s="21"/>
      <c r="P41" s="21"/>
      <c r="Q41" s="21"/>
      <c r="R41" s="21"/>
      <c r="S41" s="21"/>
      <c r="T41" s="21"/>
    </row>
    <row r="42">
      <c r="A42" s="52" t="s">
        <v>76</v>
      </c>
      <c r="C42" s="54"/>
      <c r="D42" s="54"/>
      <c r="E42" s="55" t="b">
        <v>0</v>
      </c>
      <c r="F42" s="57"/>
      <c r="G42" s="57"/>
      <c r="H42" s="74"/>
      <c r="I42" s="75"/>
      <c r="J42" s="76"/>
      <c r="K42" s="80"/>
      <c r="L42" s="21"/>
      <c r="M42" s="21"/>
      <c r="N42" s="21"/>
      <c r="O42" s="21"/>
      <c r="P42" s="21"/>
      <c r="Q42" s="21"/>
      <c r="R42" s="21"/>
      <c r="S42" s="21"/>
      <c r="T42" s="21"/>
    </row>
    <row r="43">
      <c r="A43" s="63"/>
      <c r="C43" s="54"/>
      <c r="D43" s="54"/>
      <c r="E43" s="55" t="b">
        <v>0</v>
      </c>
      <c r="F43" s="57"/>
      <c r="G43" s="57"/>
      <c r="H43" s="74"/>
      <c r="I43" s="75"/>
      <c r="J43" s="76"/>
      <c r="K43" s="80"/>
      <c r="L43" s="21"/>
      <c r="M43" s="21"/>
      <c r="N43" s="21"/>
      <c r="O43" s="21"/>
      <c r="P43" s="21"/>
      <c r="Q43" s="21"/>
      <c r="R43" s="21"/>
      <c r="S43" s="21"/>
      <c r="T43" s="21"/>
    </row>
    <row r="44">
      <c r="A44" s="63"/>
      <c r="C44" s="54"/>
      <c r="D44" s="54"/>
      <c r="E44" s="55" t="b">
        <v>0</v>
      </c>
      <c r="F44" s="57"/>
      <c r="G44" s="57"/>
      <c r="H44" s="74"/>
      <c r="I44" s="75"/>
      <c r="J44" s="76"/>
      <c r="K44" s="80"/>
      <c r="L44" s="21"/>
      <c r="M44" s="21"/>
      <c r="N44" s="21"/>
      <c r="O44" s="21"/>
      <c r="P44" s="21"/>
      <c r="Q44" s="21"/>
      <c r="R44" s="21"/>
      <c r="S44" s="21"/>
      <c r="T44" s="21"/>
    </row>
    <row r="45">
      <c r="A45" s="63"/>
      <c r="C45" s="54"/>
      <c r="D45" s="54"/>
      <c r="E45" s="55" t="b">
        <v>0</v>
      </c>
      <c r="F45" s="57"/>
      <c r="G45" s="57"/>
      <c r="H45" s="74"/>
      <c r="I45" s="75"/>
      <c r="J45" s="76"/>
      <c r="K45" s="80"/>
      <c r="L45" s="21"/>
      <c r="M45" s="21"/>
      <c r="N45" s="21"/>
      <c r="O45" s="21"/>
      <c r="P45" s="21"/>
      <c r="Q45" s="21"/>
      <c r="R45" s="21"/>
      <c r="S45" s="21"/>
      <c r="T45" s="21"/>
    </row>
    <row r="46">
      <c r="A46" s="63"/>
      <c r="C46" s="54"/>
      <c r="D46" s="54"/>
      <c r="E46" s="55" t="b">
        <v>0</v>
      </c>
      <c r="F46" s="57"/>
      <c r="G46" s="57"/>
      <c r="H46" s="74"/>
      <c r="I46" s="75"/>
      <c r="J46" s="76"/>
      <c r="K46" s="80"/>
      <c r="L46" s="21"/>
      <c r="M46" s="21"/>
      <c r="N46" s="21"/>
      <c r="O46" s="21"/>
      <c r="P46" s="21"/>
      <c r="Q46" s="21"/>
      <c r="R46" s="21"/>
      <c r="S46" s="21"/>
      <c r="T46" s="21"/>
    </row>
    <row r="47">
      <c r="A47" s="63"/>
      <c r="C47" s="54"/>
      <c r="D47" s="54"/>
      <c r="E47" s="55" t="b">
        <v>0</v>
      </c>
      <c r="F47" s="57"/>
      <c r="G47" s="57"/>
      <c r="H47" s="74"/>
      <c r="I47" s="75"/>
      <c r="J47" s="76"/>
      <c r="K47" s="80"/>
      <c r="L47" s="21"/>
      <c r="M47" s="21"/>
      <c r="N47" s="21"/>
      <c r="O47" s="21"/>
      <c r="P47" s="21"/>
      <c r="Q47" s="21"/>
      <c r="R47" s="21"/>
      <c r="S47" s="21"/>
      <c r="T47" s="21"/>
    </row>
    <row r="48">
      <c r="A48" s="63"/>
      <c r="B48" s="62"/>
      <c r="C48" s="54"/>
      <c r="D48" s="54"/>
      <c r="E48" s="55" t="b">
        <v>0</v>
      </c>
      <c r="F48" s="57"/>
      <c r="G48" s="57"/>
      <c r="H48" s="74"/>
      <c r="I48" s="75"/>
      <c r="J48" s="76"/>
      <c r="K48" s="80"/>
      <c r="L48" s="21"/>
      <c r="M48" s="21"/>
      <c r="N48" s="21"/>
      <c r="O48" s="21"/>
      <c r="P48" s="21"/>
      <c r="Q48" s="21"/>
      <c r="R48" s="21"/>
      <c r="S48" s="21"/>
      <c r="T48" s="21"/>
    </row>
    <row r="49">
      <c r="A49" s="63"/>
      <c r="B49" s="62"/>
      <c r="C49" s="54"/>
      <c r="D49" s="54"/>
      <c r="E49" s="55" t="b">
        <v>0</v>
      </c>
      <c r="F49" s="57"/>
      <c r="G49" s="57"/>
      <c r="H49" s="74"/>
      <c r="I49" s="75"/>
      <c r="J49" s="76"/>
      <c r="K49" s="80"/>
      <c r="L49" s="21"/>
      <c r="M49" s="21"/>
      <c r="N49" s="21"/>
      <c r="O49" s="21"/>
      <c r="P49" s="21"/>
      <c r="Q49" s="21"/>
      <c r="R49" s="21"/>
      <c r="S49" s="21"/>
      <c r="T49" s="21"/>
    </row>
    <row r="50">
      <c r="A50" s="63"/>
      <c r="B50" s="62"/>
      <c r="C50" s="54"/>
      <c r="D50" s="54"/>
      <c r="E50" s="55" t="b">
        <v>0</v>
      </c>
      <c r="F50" s="57"/>
      <c r="G50" s="57"/>
      <c r="H50" s="74"/>
      <c r="I50" s="75"/>
      <c r="J50" s="76"/>
      <c r="K50" s="80"/>
      <c r="L50" s="21"/>
      <c r="M50" s="21"/>
      <c r="N50" s="21"/>
      <c r="O50" s="21"/>
      <c r="P50" s="21"/>
      <c r="Q50" s="21"/>
      <c r="R50" s="21"/>
      <c r="S50" s="21"/>
      <c r="T50" s="21"/>
    </row>
    <row r="51">
      <c r="A51" s="63"/>
      <c r="B51" s="62"/>
      <c r="C51" s="54"/>
      <c r="D51" s="54"/>
      <c r="E51" s="55" t="b">
        <v>0</v>
      </c>
      <c r="F51" s="57"/>
      <c r="G51" s="57"/>
      <c r="H51" s="74"/>
      <c r="I51" s="75"/>
      <c r="J51" s="76"/>
      <c r="K51" s="80"/>
      <c r="L51" s="21"/>
      <c r="M51" s="21"/>
      <c r="N51" s="21"/>
      <c r="O51" s="21"/>
      <c r="P51" s="21"/>
      <c r="Q51" s="21"/>
      <c r="R51" s="21"/>
      <c r="S51" s="21"/>
      <c r="T51" s="21"/>
    </row>
    <row r="52">
      <c r="A52" s="63"/>
      <c r="B52" s="62"/>
      <c r="C52" s="54"/>
      <c r="D52" s="54"/>
      <c r="E52" s="55" t="b">
        <v>0</v>
      </c>
      <c r="F52" s="57"/>
      <c r="G52" s="57"/>
      <c r="H52" s="74"/>
      <c r="I52" s="75"/>
      <c r="J52" s="76"/>
      <c r="K52" s="80"/>
      <c r="L52" s="21"/>
      <c r="M52" s="21"/>
      <c r="N52" s="21"/>
      <c r="O52" s="21"/>
      <c r="P52" s="21"/>
      <c r="Q52" s="21"/>
      <c r="R52" s="21"/>
      <c r="S52" s="21"/>
      <c r="T52" s="21"/>
    </row>
    <row r="53">
      <c r="A53" s="63"/>
      <c r="B53" s="54"/>
      <c r="C53" s="86"/>
      <c r="D53" s="86" t="s">
        <v>56</v>
      </c>
      <c r="E53" s="55" t="b">
        <v>0</v>
      </c>
      <c r="F53" s="57"/>
      <c r="G53" s="57"/>
      <c r="H53" s="58" t="str">
        <f>COUNTIF(E53:E57, TRUE) &amp; "/" &amp; COUNTA(E53:E57)</f>
        <v>0/5</v>
      </c>
      <c r="I53" s="59">
        <f>COUNTIF(E53:E57, TRUE) / COUNTA(E53:E57)</f>
        <v>0</v>
      </c>
      <c r="J53" s="61">
        <f>COUNTIF(E53:E61, TRUE) / COUNTA(E53:E61)</f>
        <v>0</v>
      </c>
      <c r="K53" s="80"/>
      <c r="L53" s="21"/>
      <c r="M53" s="21"/>
      <c r="N53" s="21"/>
      <c r="O53" s="21"/>
      <c r="P53" s="21"/>
      <c r="Q53" s="21"/>
      <c r="R53" s="21"/>
      <c r="S53" s="21"/>
      <c r="T53" s="21"/>
    </row>
    <row r="54">
      <c r="A54" s="63"/>
      <c r="B54" s="54"/>
      <c r="C54" s="63"/>
      <c r="D54" s="63"/>
      <c r="E54" s="55" t="b">
        <v>0</v>
      </c>
      <c r="F54" s="57"/>
      <c r="G54" s="57"/>
      <c r="H54" s="63"/>
      <c r="I54" s="63"/>
      <c r="J54" s="63"/>
      <c r="K54" s="80"/>
      <c r="L54" s="21"/>
      <c r="M54" s="21"/>
      <c r="N54" s="21"/>
      <c r="O54" s="21"/>
      <c r="P54" s="21"/>
      <c r="Q54" s="21"/>
      <c r="R54" s="21"/>
      <c r="S54" s="21"/>
      <c r="T54" s="21"/>
    </row>
    <row r="55">
      <c r="A55" s="63"/>
      <c r="B55" s="54"/>
      <c r="C55" s="63"/>
      <c r="D55" s="63"/>
      <c r="E55" s="55" t="b">
        <v>0</v>
      </c>
      <c r="F55" s="57"/>
      <c r="G55" s="57"/>
      <c r="H55" s="63"/>
      <c r="I55" s="63"/>
      <c r="J55" s="63"/>
      <c r="K55" s="80"/>
      <c r="L55" s="21"/>
      <c r="M55" s="21"/>
      <c r="N55" s="21"/>
      <c r="O55" s="21"/>
      <c r="P55" s="21"/>
      <c r="Q55" s="21"/>
      <c r="R55" s="21"/>
      <c r="S55" s="21"/>
      <c r="T55" s="21"/>
    </row>
    <row r="56">
      <c r="A56" s="63"/>
      <c r="B56" s="54"/>
      <c r="C56" s="63"/>
      <c r="D56" s="63"/>
      <c r="E56" s="55" t="b">
        <v>0</v>
      </c>
      <c r="F56" s="57"/>
      <c r="G56" s="57"/>
      <c r="H56" s="63"/>
      <c r="I56" s="63"/>
      <c r="J56" s="63"/>
      <c r="K56" s="80"/>
      <c r="L56" s="21"/>
      <c r="M56" s="21"/>
      <c r="N56" s="21"/>
      <c r="O56" s="21"/>
      <c r="P56" s="21"/>
      <c r="Q56" s="21"/>
      <c r="R56" s="21"/>
      <c r="S56" s="21"/>
      <c r="T56" s="21"/>
    </row>
    <row r="57">
      <c r="A57" s="63"/>
      <c r="B57" s="54"/>
      <c r="C57" s="64"/>
      <c r="D57" s="64"/>
      <c r="E57" s="55" t="b">
        <v>0</v>
      </c>
      <c r="F57" s="57"/>
      <c r="G57" s="57"/>
      <c r="H57" s="64"/>
      <c r="I57" s="64"/>
      <c r="J57" s="63"/>
      <c r="K57" s="80"/>
      <c r="L57" s="21"/>
      <c r="M57" s="21"/>
      <c r="N57" s="21"/>
      <c r="O57" s="21"/>
      <c r="P57" s="21"/>
      <c r="Q57" s="21"/>
      <c r="R57" s="21"/>
      <c r="S57" s="21"/>
      <c r="T57" s="21"/>
    </row>
    <row r="58">
      <c r="A58" s="63"/>
      <c r="B58" s="77"/>
      <c r="C58" s="93"/>
      <c r="D58" s="69" t="s">
        <v>62</v>
      </c>
      <c r="E58" s="70" t="b">
        <v>0</v>
      </c>
      <c r="F58" s="94"/>
      <c r="G58" s="96"/>
      <c r="H58" s="72" t="str">
        <f>COUNTIF(E58:E61, TRUE) &amp; "/" &amp; COUNTA(E58:E61)</f>
        <v>0/4</v>
      </c>
      <c r="I58" s="97">
        <f>COUNTIF(E58:E61, TRUE) / COUNTA(E58:E61)</f>
        <v>0</v>
      </c>
      <c r="J58" s="63"/>
      <c r="K58" s="80"/>
      <c r="L58" s="21"/>
      <c r="M58" s="21"/>
      <c r="N58" s="21"/>
      <c r="O58" s="21"/>
      <c r="P58" s="21"/>
      <c r="Q58" s="21"/>
      <c r="R58" s="21"/>
      <c r="S58" s="21"/>
      <c r="T58" s="21"/>
    </row>
    <row r="59">
      <c r="A59" s="63"/>
      <c r="B59" s="77"/>
      <c r="C59" s="63"/>
      <c r="D59" s="63"/>
      <c r="E59" s="70" t="b">
        <v>0</v>
      </c>
      <c r="F59" s="94"/>
      <c r="G59" s="94"/>
      <c r="H59" s="63"/>
      <c r="I59" s="63"/>
      <c r="J59" s="63"/>
      <c r="K59" s="80"/>
      <c r="L59" s="21"/>
      <c r="M59" s="21"/>
      <c r="N59" s="21"/>
      <c r="O59" s="21"/>
      <c r="P59" s="21"/>
      <c r="Q59" s="21"/>
      <c r="R59" s="21"/>
      <c r="S59" s="21"/>
      <c r="T59" s="21"/>
    </row>
    <row r="60">
      <c r="A60" s="63"/>
      <c r="B60" s="77"/>
      <c r="C60" s="63"/>
      <c r="D60" s="63"/>
      <c r="E60" s="70" t="b">
        <v>0</v>
      </c>
      <c r="F60" s="94"/>
      <c r="G60" s="94"/>
      <c r="H60" s="63"/>
      <c r="I60" s="63"/>
      <c r="J60" s="63"/>
      <c r="K60" s="80"/>
      <c r="L60" s="21"/>
      <c r="M60" s="21"/>
      <c r="N60" s="21"/>
      <c r="O60" s="21"/>
      <c r="P60" s="21"/>
      <c r="Q60" s="21"/>
      <c r="R60" s="21"/>
      <c r="S60" s="21"/>
      <c r="T60" s="21"/>
    </row>
    <row r="61">
      <c r="A61" s="63"/>
      <c r="B61" s="77"/>
      <c r="C61" s="64"/>
      <c r="D61" s="64"/>
      <c r="E61" s="70" t="b">
        <v>0</v>
      </c>
      <c r="F61" s="94"/>
      <c r="G61" s="94"/>
      <c r="H61" s="64"/>
      <c r="I61" s="64"/>
      <c r="J61" s="64"/>
      <c r="K61" s="80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63"/>
      <c r="B62" s="54"/>
      <c r="C62" s="54"/>
      <c r="D62" s="54"/>
      <c r="E62" s="55" t="b">
        <v>0</v>
      </c>
      <c r="F62" s="57"/>
      <c r="G62" s="57"/>
      <c r="H62" s="74"/>
      <c r="I62" s="75"/>
      <c r="J62" s="76"/>
      <c r="K62" s="80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63"/>
      <c r="B63" s="54"/>
      <c r="C63" s="54"/>
      <c r="D63" s="54"/>
      <c r="E63" s="55" t="b">
        <v>0</v>
      </c>
      <c r="F63" s="57"/>
      <c r="G63" s="57"/>
      <c r="H63" s="74"/>
      <c r="I63" s="75"/>
      <c r="J63" s="76"/>
      <c r="K63" s="80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63"/>
      <c r="B64" s="54"/>
      <c r="C64" s="54"/>
      <c r="D64" s="54"/>
      <c r="E64" s="55" t="b">
        <v>0</v>
      </c>
      <c r="F64" s="57"/>
      <c r="G64" s="57"/>
      <c r="H64" s="74"/>
      <c r="I64" s="75"/>
      <c r="J64" s="76"/>
      <c r="K64" s="80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63"/>
      <c r="B65" s="54"/>
      <c r="C65" s="54"/>
      <c r="D65" s="54"/>
      <c r="E65" s="55" t="b">
        <v>0</v>
      </c>
      <c r="F65" s="57"/>
      <c r="G65" s="57"/>
      <c r="H65" s="74"/>
      <c r="I65" s="75"/>
      <c r="J65" s="76"/>
      <c r="K65" s="80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63"/>
      <c r="B66" s="54"/>
      <c r="C66" s="54"/>
      <c r="D66" s="54"/>
      <c r="E66" s="55" t="b">
        <v>0</v>
      </c>
      <c r="F66" s="57"/>
      <c r="G66" s="57"/>
      <c r="H66" s="74"/>
      <c r="I66" s="75"/>
      <c r="J66" s="76"/>
      <c r="K66" s="80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63"/>
      <c r="B67" s="54"/>
      <c r="C67" s="54"/>
      <c r="D67" s="54"/>
      <c r="E67" s="55" t="b">
        <v>0</v>
      </c>
      <c r="F67" s="57"/>
      <c r="G67" s="57"/>
      <c r="H67" s="74"/>
      <c r="I67" s="75"/>
      <c r="J67" s="76"/>
      <c r="K67" s="80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63"/>
      <c r="B68" s="54"/>
      <c r="C68" s="54"/>
      <c r="D68" s="54"/>
      <c r="E68" s="55" t="b">
        <v>0</v>
      </c>
      <c r="F68" s="57"/>
      <c r="G68" s="57"/>
      <c r="H68" s="74"/>
      <c r="I68" s="75"/>
      <c r="J68" s="76"/>
      <c r="K68" s="80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63"/>
      <c r="B69" s="54"/>
      <c r="C69" s="54"/>
      <c r="D69" s="54"/>
      <c r="E69" s="55" t="b">
        <v>0</v>
      </c>
      <c r="F69" s="57"/>
      <c r="G69" s="57"/>
      <c r="H69" s="74"/>
      <c r="I69" s="75"/>
      <c r="J69" s="76"/>
      <c r="K69" s="80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63"/>
      <c r="B70" s="54"/>
      <c r="C70" s="54"/>
      <c r="D70" s="54"/>
      <c r="E70" s="55" t="b">
        <v>0</v>
      </c>
      <c r="F70" s="57"/>
      <c r="G70" s="57"/>
      <c r="H70" s="74"/>
      <c r="I70" s="75"/>
      <c r="J70" s="76"/>
      <c r="K70" s="80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63"/>
      <c r="B71" s="54"/>
      <c r="C71" s="54"/>
      <c r="D71" s="54"/>
      <c r="E71" s="55" t="b">
        <v>0</v>
      </c>
      <c r="F71" s="57"/>
      <c r="G71" s="57"/>
      <c r="H71" s="74"/>
      <c r="I71" s="75"/>
      <c r="J71" s="76"/>
      <c r="K71" s="80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63"/>
      <c r="B72" s="54"/>
      <c r="C72" s="54"/>
      <c r="D72" s="54"/>
      <c r="E72" s="55" t="b">
        <v>0</v>
      </c>
      <c r="F72" s="57"/>
      <c r="G72" s="57"/>
      <c r="H72" s="74"/>
      <c r="I72" s="75"/>
      <c r="J72" s="76"/>
      <c r="K72" s="80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63"/>
      <c r="B73" s="54"/>
      <c r="C73" s="54"/>
      <c r="D73" s="54"/>
      <c r="E73" s="55" t="b">
        <v>0</v>
      </c>
      <c r="F73" s="57"/>
      <c r="G73" s="57"/>
      <c r="H73" s="74"/>
      <c r="I73" s="75"/>
      <c r="J73" s="76"/>
      <c r="K73" s="80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63"/>
      <c r="B74" s="54"/>
      <c r="C74" s="54"/>
      <c r="D74" s="54"/>
      <c r="E74" s="55" t="b">
        <v>0</v>
      </c>
      <c r="F74" s="57"/>
      <c r="G74" s="57"/>
      <c r="H74" s="74"/>
      <c r="I74" s="75"/>
      <c r="J74" s="76"/>
      <c r="K74" s="80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63"/>
      <c r="B75" s="54"/>
      <c r="C75" s="54"/>
      <c r="D75" s="54"/>
      <c r="E75" s="55" t="b">
        <v>0</v>
      </c>
      <c r="F75" s="57"/>
      <c r="G75" s="57"/>
      <c r="H75" s="74"/>
      <c r="I75" s="75"/>
      <c r="J75" s="76"/>
      <c r="K75" s="80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63"/>
      <c r="B76" s="54"/>
      <c r="C76" s="54"/>
      <c r="D76" s="54"/>
      <c r="E76" s="55" t="b">
        <v>0</v>
      </c>
      <c r="F76" s="57"/>
      <c r="G76" s="57"/>
      <c r="H76" s="74"/>
      <c r="I76" s="75"/>
      <c r="J76" s="76"/>
      <c r="K76" s="80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63"/>
      <c r="B77" s="54"/>
      <c r="C77" s="54"/>
      <c r="D77" s="54"/>
      <c r="E77" s="55" t="b">
        <v>0</v>
      </c>
      <c r="F77" s="57"/>
      <c r="G77" s="57"/>
      <c r="H77" s="74"/>
      <c r="I77" s="75"/>
      <c r="J77" s="76"/>
      <c r="K77" s="80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63"/>
      <c r="B78" s="54"/>
      <c r="C78" s="54"/>
      <c r="D78" s="54"/>
      <c r="E78" s="55" t="b">
        <v>0</v>
      </c>
      <c r="F78" s="57"/>
      <c r="G78" s="57"/>
      <c r="H78" s="74"/>
      <c r="I78" s="75"/>
      <c r="J78" s="76"/>
      <c r="K78" s="80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64"/>
      <c r="B79" s="54"/>
      <c r="C79" s="54"/>
      <c r="D79" s="54"/>
      <c r="E79" s="55" t="b">
        <v>0</v>
      </c>
      <c r="F79" s="57"/>
      <c r="G79" s="57"/>
      <c r="H79" s="74"/>
      <c r="I79" s="75"/>
      <c r="J79" s="76"/>
      <c r="K79" s="80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52" t="s">
        <v>94</v>
      </c>
      <c r="B80" s="54"/>
      <c r="C80" s="86"/>
      <c r="D80" s="86" t="s">
        <v>56</v>
      </c>
      <c r="E80" s="55" t="b">
        <v>0</v>
      </c>
      <c r="F80" s="57"/>
      <c r="G80" s="57"/>
      <c r="H80" s="58" t="str">
        <f>COUNTIF(E80:E84, TRUE) &amp; "/" &amp; COUNTA(E80:E84)</f>
        <v>0/5</v>
      </c>
      <c r="I80" s="59">
        <f>COUNTIF(E80:E84, TRUE) / COUNTA(E80:E84)</f>
        <v>0</v>
      </c>
      <c r="J80" s="61">
        <f>COUNTIF(E80:E88, TRUE) / COUNTA(E80:E88)</f>
        <v>0</v>
      </c>
      <c r="K80" s="80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63"/>
      <c r="B81" s="54"/>
      <c r="C81" s="63"/>
      <c r="D81" s="63"/>
      <c r="E81" s="55" t="b">
        <v>0</v>
      </c>
      <c r="F81" s="57"/>
      <c r="G81" s="57"/>
      <c r="H81" s="63"/>
      <c r="I81" s="63"/>
      <c r="J81" s="63"/>
      <c r="K81" s="80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63"/>
      <c r="B82" s="54"/>
      <c r="C82" s="63"/>
      <c r="D82" s="63"/>
      <c r="E82" s="55" t="b">
        <v>0</v>
      </c>
      <c r="F82" s="57"/>
      <c r="G82" s="57"/>
      <c r="H82" s="63"/>
      <c r="I82" s="63"/>
      <c r="J82" s="63"/>
      <c r="K82" s="80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63"/>
      <c r="B83" s="54"/>
      <c r="C83" s="63"/>
      <c r="D83" s="63"/>
      <c r="E83" s="55" t="b">
        <v>0</v>
      </c>
      <c r="F83" s="57"/>
      <c r="G83" s="57"/>
      <c r="H83" s="63"/>
      <c r="I83" s="63"/>
      <c r="J83" s="63"/>
      <c r="K83" s="80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63"/>
      <c r="B84" s="54"/>
      <c r="C84" s="64"/>
      <c r="D84" s="64"/>
      <c r="E84" s="55" t="b">
        <v>0</v>
      </c>
      <c r="F84" s="57"/>
      <c r="G84" s="57"/>
      <c r="H84" s="64"/>
      <c r="I84" s="64"/>
      <c r="J84" s="63"/>
      <c r="K84" s="80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63"/>
      <c r="B85" s="77"/>
      <c r="C85" s="93"/>
      <c r="D85" s="93" t="s">
        <v>62</v>
      </c>
      <c r="E85" s="70" t="b">
        <v>0</v>
      </c>
      <c r="F85" s="94"/>
      <c r="G85" s="94"/>
      <c r="H85" s="72" t="str">
        <f>COUNTIF(E85:E88, TRUE) &amp; "/" &amp; COUNTA(E85:E88)</f>
        <v>0/4</v>
      </c>
      <c r="I85" s="97">
        <f>COUNTIF(E85:E88, TRUE) / COUNTA(E85:E88)</f>
        <v>0</v>
      </c>
      <c r="J85" s="63"/>
      <c r="K85" s="80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63"/>
      <c r="B86" s="77"/>
      <c r="C86" s="63"/>
      <c r="D86" s="63"/>
      <c r="E86" s="70" t="b">
        <v>0</v>
      </c>
      <c r="F86" s="94"/>
      <c r="G86" s="94"/>
      <c r="H86" s="63"/>
      <c r="I86" s="63"/>
      <c r="J86" s="63"/>
      <c r="K86" s="80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</row>
    <row r="87">
      <c r="A87" s="63"/>
      <c r="B87" s="77"/>
      <c r="C87" s="63"/>
      <c r="D87" s="63"/>
      <c r="E87" s="70" t="b">
        <v>0</v>
      </c>
      <c r="F87" s="94"/>
      <c r="G87" s="94"/>
      <c r="H87" s="63"/>
      <c r="I87" s="63"/>
      <c r="J87" s="63"/>
      <c r="K87" s="80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</row>
    <row r="88">
      <c r="A88" s="63"/>
      <c r="B88" s="77"/>
      <c r="C88" s="64"/>
      <c r="D88" s="64"/>
      <c r="E88" s="70" t="b">
        <v>0</v>
      </c>
      <c r="F88" s="94"/>
      <c r="G88" s="94"/>
      <c r="H88" s="64"/>
      <c r="I88" s="64"/>
      <c r="J88" s="64"/>
      <c r="K88" s="80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</row>
    <row r="89">
      <c r="A89" s="63"/>
      <c r="B89" s="54"/>
      <c r="C89" s="54"/>
      <c r="D89" s="54"/>
      <c r="E89" s="55" t="b">
        <v>0</v>
      </c>
      <c r="F89" s="57"/>
      <c r="G89" s="57"/>
      <c r="H89" s="74"/>
      <c r="I89" s="75"/>
      <c r="J89" s="76"/>
      <c r="K89" s="80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</row>
    <row r="90">
      <c r="A90" s="63"/>
      <c r="B90" s="54"/>
      <c r="C90" s="54"/>
      <c r="D90" s="54"/>
      <c r="E90" s="55" t="b">
        <v>0</v>
      </c>
      <c r="F90" s="57"/>
      <c r="G90" s="57"/>
      <c r="H90" s="74"/>
      <c r="I90" s="75"/>
      <c r="J90" s="76"/>
      <c r="K90" s="80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</row>
    <row r="91">
      <c r="A91" s="63"/>
      <c r="B91" s="54"/>
      <c r="C91" s="54"/>
      <c r="D91" s="54"/>
      <c r="E91" s="55" t="b">
        <v>0</v>
      </c>
      <c r="F91" s="57"/>
      <c r="G91" s="57"/>
      <c r="H91" s="74"/>
      <c r="I91" s="75"/>
      <c r="J91" s="76"/>
      <c r="K91" s="80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</row>
    <row r="92">
      <c r="A92" s="63"/>
      <c r="B92" s="54"/>
      <c r="C92" s="54"/>
      <c r="D92" s="54"/>
      <c r="E92" s="55" t="b">
        <v>0</v>
      </c>
      <c r="F92" s="57"/>
      <c r="G92" s="57"/>
      <c r="H92" s="74"/>
      <c r="I92" s="75"/>
      <c r="J92" s="76"/>
      <c r="K92" s="80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</row>
    <row r="93">
      <c r="A93" s="63"/>
      <c r="B93" s="54"/>
      <c r="C93" s="54"/>
      <c r="D93" s="54"/>
      <c r="E93" s="55" t="b">
        <v>0</v>
      </c>
      <c r="F93" s="57"/>
      <c r="G93" s="57"/>
      <c r="H93" s="74"/>
      <c r="I93" s="75"/>
      <c r="J93" s="76"/>
      <c r="K93" s="80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</row>
    <row r="94">
      <c r="A94" s="63"/>
      <c r="B94" s="54"/>
      <c r="C94" s="54"/>
      <c r="D94" s="54"/>
      <c r="E94" s="55" t="b">
        <v>0</v>
      </c>
      <c r="F94" s="57"/>
      <c r="G94" s="57"/>
      <c r="H94" s="74"/>
      <c r="I94" s="75"/>
      <c r="J94" s="76"/>
      <c r="K94" s="80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</row>
    <row r="95">
      <c r="A95" s="63"/>
      <c r="B95" s="54"/>
      <c r="C95" s="54"/>
      <c r="D95" s="54"/>
      <c r="E95" s="55" t="b">
        <v>0</v>
      </c>
      <c r="F95" s="57"/>
      <c r="G95" s="57"/>
      <c r="H95" s="74"/>
      <c r="I95" s="75"/>
      <c r="J95" s="76"/>
      <c r="K95" s="80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</row>
    <row r="96">
      <c r="A96" s="63"/>
      <c r="B96" s="54"/>
      <c r="C96" s="54"/>
      <c r="D96" s="54"/>
      <c r="E96" s="55" t="b">
        <v>0</v>
      </c>
      <c r="F96" s="57"/>
      <c r="G96" s="57"/>
      <c r="H96" s="74"/>
      <c r="I96" s="75"/>
      <c r="J96" s="76"/>
      <c r="K96" s="80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</row>
    <row r="97">
      <c r="A97" s="63"/>
      <c r="B97" s="54"/>
      <c r="C97" s="54"/>
      <c r="D97" s="54"/>
      <c r="E97" s="55" t="b">
        <v>0</v>
      </c>
      <c r="F97" s="57"/>
      <c r="G97" s="57"/>
      <c r="H97" s="74"/>
      <c r="I97" s="75"/>
      <c r="J97" s="76"/>
      <c r="K97" s="80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</row>
    <row r="98">
      <c r="A98" s="63"/>
      <c r="B98" s="54"/>
      <c r="C98" s="54"/>
      <c r="D98" s="54"/>
      <c r="E98" s="55" t="b">
        <v>0</v>
      </c>
      <c r="F98" s="57"/>
      <c r="G98" s="57"/>
      <c r="H98" s="74"/>
      <c r="I98" s="75"/>
      <c r="J98" s="76"/>
      <c r="K98" s="80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</row>
    <row r="99">
      <c r="A99" s="63"/>
      <c r="B99" s="54"/>
      <c r="C99" s="54"/>
      <c r="D99" s="54"/>
      <c r="E99" s="55" t="b">
        <v>0</v>
      </c>
      <c r="F99" s="57"/>
      <c r="G99" s="57"/>
      <c r="H99" s="74"/>
      <c r="I99" s="75"/>
      <c r="J99" s="76"/>
      <c r="K99" s="80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</row>
    <row r="100">
      <c r="A100" s="63"/>
      <c r="B100" s="54"/>
      <c r="C100" s="54"/>
      <c r="D100" s="54"/>
      <c r="E100" s="55" t="b">
        <v>0</v>
      </c>
      <c r="F100" s="57"/>
      <c r="G100" s="57"/>
      <c r="H100" s="74"/>
      <c r="I100" s="75"/>
      <c r="J100" s="76"/>
      <c r="K100" s="80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</row>
    <row r="101">
      <c r="A101" s="63"/>
      <c r="B101" s="54"/>
      <c r="C101" s="54"/>
      <c r="D101" s="54"/>
      <c r="E101" s="55" t="b">
        <v>0</v>
      </c>
      <c r="F101" s="57"/>
      <c r="G101" s="57"/>
      <c r="H101" s="74"/>
      <c r="I101" s="75"/>
      <c r="J101" s="76"/>
      <c r="K101" s="80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</row>
    <row r="102">
      <c r="A102" s="63"/>
      <c r="B102" s="54"/>
      <c r="C102" s="54"/>
      <c r="D102" s="54"/>
      <c r="E102" s="55" t="b">
        <v>0</v>
      </c>
      <c r="F102" s="57"/>
      <c r="G102" s="57"/>
      <c r="H102" s="74"/>
      <c r="I102" s="75"/>
      <c r="J102" s="76"/>
      <c r="K102" s="80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</row>
    <row r="103">
      <c r="A103" s="63"/>
      <c r="B103" s="54"/>
      <c r="C103" s="54"/>
      <c r="D103" s="54"/>
      <c r="E103" s="55" t="b">
        <v>0</v>
      </c>
      <c r="F103" s="57"/>
      <c r="G103" s="57"/>
      <c r="H103" s="74"/>
      <c r="I103" s="75"/>
      <c r="J103" s="76"/>
      <c r="K103" s="80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</row>
    <row r="104">
      <c r="A104" s="63"/>
      <c r="B104" s="54"/>
      <c r="C104" s="54"/>
      <c r="D104" s="54"/>
      <c r="E104" s="55" t="b">
        <v>0</v>
      </c>
      <c r="F104" s="57"/>
      <c r="G104" s="57"/>
      <c r="H104" s="74"/>
      <c r="I104" s="75"/>
      <c r="J104" s="76"/>
      <c r="K104" s="80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</row>
    <row r="105">
      <c r="A105" s="63"/>
      <c r="B105" s="54"/>
      <c r="C105" s="54"/>
      <c r="D105" s="54"/>
      <c r="E105" s="55" t="b">
        <v>0</v>
      </c>
      <c r="F105" s="57"/>
      <c r="G105" s="57"/>
      <c r="H105" s="74"/>
      <c r="I105" s="75"/>
      <c r="J105" s="76"/>
      <c r="K105" s="80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</row>
    <row r="106">
      <c r="A106" s="64"/>
      <c r="B106" s="54"/>
      <c r="C106" s="54"/>
      <c r="D106" s="54"/>
      <c r="E106" s="55" t="b">
        <v>0</v>
      </c>
      <c r="F106" s="57"/>
      <c r="G106" s="57"/>
      <c r="H106" s="74"/>
      <c r="I106" s="75"/>
      <c r="J106" s="76"/>
      <c r="K106" s="80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</row>
    <row r="107">
      <c r="A107" s="52" t="s">
        <v>111</v>
      </c>
      <c r="B107" s="54"/>
      <c r="C107" s="86"/>
      <c r="D107" s="86" t="s">
        <v>56</v>
      </c>
      <c r="E107" s="55" t="b">
        <v>0</v>
      </c>
      <c r="F107" s="57"/>
      <c r="G107" s="57"/>
      <c r="H107" s="58" t="str">
        <f>COUNTIF(E107:E111, TRUE) &amp; "/" &amp; COUNTA(E107:E111)</f>
        <v>0/5</v>
      </c>
      <c r="I107" s="59">
        <f>COUNTIF(E107:E111, TRUE) / COUNTA(E107:E111)</f>
        <v>0</v>
      </c>
      <c r="J107" s="61">
        <f>COUNTIF(E107:E115, TRUE) / COUNTA(E107:E115)</f>
        <v>0</v>
      </c>
      <c r="K107" s="80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</row>
    <row r="108">
      <c r="A108" s="63"/>
      <c r="B108" s="54"/>
      <c r="C108" s="63"/>
      <c r="D108" s="63"/>
      <c r="E108" s="55" t="b">
        <v>0</v>
      </c>
      <c r="F108" s="57"/>
      <c r="G108" s="57"/>
      <c r="H108" s="63"/>
      <c r="I108" s="63"/>
      <c r="J108" s="63"/>
      <c r="K108" s="80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</row>
    <row r="109">
      <c r="A109" s="63"/>
      <c r="B109" s="54"/>
      <c r="C109" s="63"/>
      <c r="D109" s="63"/>
      <c r="E109" s="55" t="b">
        <v>0</v>
      </c>
      <c r="F109" s="57"/>
      <c r="G109" s="57"/>
      <c r="H109" s="63"/>
      <c r="I109" s="63"/>
      <c r="J109" s="63"/>
      <c r="K109" s="80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</row>
    <row r="110">
      <c r="A110" s="63"/>
      <c r="B110" s="54"/>
      <c r="C110" s="63"/>
      <c r="D110" s="63"/>
      <c r="E110" s="55" t="b">
        <v>0</v>
      </c>
      <c r="F110" s="57"/>
      <c r="G110" s="57"/>
      <c r="H110" s="63"/>
      <c r="I110" s="63"/>
      <c r="J110" s="63"/>
      <c r="K110" s="80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</row>
    <row r="111">
      <c r="A111" s="63"/>
      <c r="B111" s="54"/>
      <c r="C111" s="64"/>
      <c r="D111" s="64"/>
      <c r="E111" s="55" t="b">
        <v>0</v>
      </c>
      <c r="F111" s="57"/>
      <c r="G111" s="57"/>
      <c r="H111" s="64"/>
      <c r="I111" s="64"/>
      <c r="J111" s="63"/>
      <c r="K111" s="80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</row>
    <row r="112">
      <c r="A112" s="63"/>
      <c r="B112" s="77"/>
      <c r="C112" s="93"/>
      <c r="D112" s="93" t="s">
        <v>62</v>
      </c>
      <c r="E112" s="70" t="b">
        <v>0</v>
      </c>
      <c r="F112" s="94"/>
      <c r="G112" s="94"/>
      <c r="H112" s="72" t="str">
        <f>COUNTIF(E112:E115, TRUE) &amp; "/" &amp; COUNTA(E112:E115)</f>
        <v>0/4</v>
      </c>
      <c r="I112" s="97">
        <f>COUNTIF(E112:E115, TRUE) / COUNTA(E112:E115)</f>
        <v>0</v>
      </c>
      <c r="J112" s="63"/>
      <c r="K112" s="80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</row>
    <row r="113">
      <c r="A113" s="63"/>
      <c r="B113" s="77"/>
      <c r="C113" s="63"/>
      <c r="D113" s="63"/>
      <c r="E113" s="70" t="b">
        <v>0</v>
      </c>
      <c r="F113" s="94"/>
      <c r="G113" s="94"/>
      <c r="H113" s="63"/>
      <c r="I113" s="63"/>
      <c r="J113" s="63"/>
      <c r="K113" s="80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</row>
    <row r="114">
      <c r="A114" s="63"/>
      <c r="B114" s="77"/>
      <c r="C114" s="63"/>
      <c r="D114" s="63"/>
      <c r="E114" s="70" t="b">
        <v>0</v>
      </c>
      <c r="F114" s="94"/>
      <c r="G114" s="94"/>
      <c r="H114" s="63"/>
      <c r="I114" s="63"/>
      <c r="J114" s="63"/>
      <c r="K114" s="80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</row>
    <row r="115">
      <c r="A115" s="63"/>
      <c r="B115" s="77"/>
      <c r="C115" s="64"/>
      <c r="D115" s="64"/>
      <c r="E115" s="70" t="b">
        <v>0</v>
      </c>
      <c r="F115" s="94"/>
      <c r="G115" s="94"/>
      <c r="H115" s="64"/>
      <c r="I115" s="64"/>
      <c r="J115" s="64"/>
      <c r="K115" s="80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</row>
    <row r="116">
      <c r="A116" s="63"/>
      <c r="B116" s="54"/>
      <c r="C116" s="86"/>
      <c r="D116" s="86" t="s">
        <v>56</v>
      </c>
      <c r="E116" s="55" t="b">
        <v>0</v>
      </c>
      <c r="F116" s="57"/>
      <c r="G116" s="57"/>
      <c r="H116" s="58" t="str">
        <f>COUNTIF(E116:E120, TRUE) &amp; "/" &amp; COUNTA(E116:E120)</f>
        <v>0/5</v>
      </c>
      <c r="I116" s="59">
        <f>COUNTIF(E116:E120, TRUE) / COUNTA(E116:E120)</f>
        <v>0</v>
      </c>
      <c r="J116" s="61">
        <f>COUNTIF(E116:E124, TRUE) / COUNTA(E116:E124)</f>
        <v>0</v>
      </c>
      <c r="K116" s="80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63"/>
      <c r="B117" s="54"/>
      <c r="C117" s="63"/>
      <c r="D117" s="63"/>
      <c r="E117" s="55" t="b">
        <v>0</v>
      </c>
      <c r="F117" s="57"/>
      <c r="G117" s="57"/>
      <c r="H117" s="63"/>
      <c r="I117" s="63"/>
      <c r="J117" s="63"/>
      <c r="K117" s="80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63"/>
      <c r="B118" s="54"/>
      <c r="C118" s="63"/>
      <c r="D118" s="63"/>
      <c r="E118" s="55" t="b">
        <v>0</v>
      </c>
      <c r="F118" s="57"/>
      <c r="G118" s="57"/>
      <c r="H118" s="63"/>
      <c r="I118" s="63"/>
      <c r="J118" s="63"/>
      <c r="K118" s="80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63"/>
      <c r="B119" s="54"/>
      <c r="C119" s="63"/>
      <c r="D119" s="63"/>
      <c r="E119" s="55" t="b">
        <v>0</v>
      </c>
      <c r="F119" s="57"/>
      <c r="G119" s="57"/>
      <c r="H119" s="63"/>
      <c r="I119" s="63"/>
      <c r="J119" s="63"/>
      <c r="K119" s="80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63"/>
      <c r="B120" s="54"/>
      <c r="C120" s="64"/>
      <c r="D120" s="64"/>
      <c r="E120" s="55" t="b">
        <v>0</v>
      </c>
      <c r="F120" s="57"/>
      <c r="G120" s="57"/>
      <c r="H120" s="64"/>
      <c r="I120" s="64"/>
      <c r="J120" s="63"/>
      <c r="K120" s="80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63"/>
      <c r="B121" s="77"/>
      <c r="C121" s="93"/>
      <c r="D121" s="93" t="s">
        <v>62</v>
      </c>
      <c r="E121" s="70" t="b">
        <v>0</v>
      </c>
      <c r="F121" s="94"/>
      <c r="G121" s="94"/>
      <c r="H121" s="72" t="str">
        <f>COUNTIF(E121:E124, TRUE) &amp; "/" &amp; COUNTA(E121:E124)</f>
        <v>0/4</v>
      </c>
      <c r="I121" s="97">
        <f>COUNTIF(E121:E124, TRUE) / COUNTA(E121:E124)</f>
        <v>0</v>
      </c>
      <c r="J121" s="63"/>
      <c r="K121" s="80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63"/>
      <c r="B122" s="77"/>
      <c r="C122" s="63"/>
      <c r="D122" s="63"/>
      <c r="E122" s="70" t="b">
        <v>0</v>
      </c>
      <c r="F122" s="94"/>
      <c r="G122" s="94"/>
      <c r="H122" s="63"/>
      <c r="I122" s="63"/>
      <c r="J122" s="63"/>
      <c r="K122" s="80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63"/>
      <c r="B123" s="77"/>
      <c r="C123" s="63"/>
      <c r="D123" s="63"/>
      <c r="E123" s="70" t="b">
        <v>0</v>
      </c>
      <c r="F123" s="94"/>
      <c r="G123" s="94"/>
      <c r="H123" s="63"/>
      <c r="I123" s="63"/>
      <c r="J123" s="63"/>
      <c r="K123" s="80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63"/>
      <c r="B124" s="77"/>
      <c r="C124" s="64"/>
      <c r="D124" s="64"/>
      <c r="E124" s="70" t="b">
        <v>0</v>
      </c>
      <c r="F124" s="94"/>
      <c r="G124" s="94"/>
      <c r="H124" s="64"/>
      <c r="I124" s="64"/>
      <c r="J124" s="64"/>
      <c r="K124" s="80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63"/>
      <c r="B125" s="54"/>
      <c r="C125" s="86"/>
      <c r="D125" s="86" t="s">
        <v>56</v>
      </c>
      <c r="E125" s="55" t="b">
        <v>0</v>
      </c>
      <c r="F125" s="57"/>
      <c r="G125" s="57"/>
      <c r="H125" s="58" t="str">
        <f>COUNTIF(E125:E129, TRUE) &amp; "/" &amp; COUNTA(E125:E129)</f>
        <v>0/5</v>
      </c>
      <c r="I125" s="59">
        <f>COUNTIF(E125:E129, TRUE) / COUNTA(E125:E129)</f>
        <v>0</v>
      </c>
      <c r="J125" s="61">
        <f>COUNTIF(E125:E133, TRUE) / COUNTA(E125:E133)</f>
        <v>0</v>
      </c>
      <c r="K125" s="80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63"/>
      <c r="B126" s="54"/>
      <c r="C126" s="63"/>
      <c r="D126" s="63"/>
      <c r="E126" s="55" t="b">
        <v>0</v>
      </c>
      <c r="F126" s="57"/>
      <c r="G126" s="57"/>
      <c r="H126" s="63"/>
      <c r="I126" s="63"/>
      <c r="J126" s="63"/>
      <c r="K126" s="80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63"/>
      <c r="B127" s="54"/>
      <c r="C127" s="63"/>
      <c r="D127" s="63"/>
      <c r="E127" s="55" t="b">
        <v>0</v>
      </c>
      <c r="F127" s="57"/>
      <c r="G127" s="57"/>
      <c r="H127" s="63"/>
      <c r="I127" s="63"/>
      <c r="J127" s="63"/>
      <c r="K127" s="80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63"/>
      <c r="B128" s="54"/>
      <c r="C128" s="63"/>
      <c r="D128" s="63"/>
      <c r="E128" s="55" t="b">
        <v>0</v>
      </c>
      <c r="F128" s="57"/>
      <c r="G128" s="57"/>
      <c r="H128" s="63"/>
      <c r="I128" s="63"/>
      <c r="J128" s="63"/>
      <c r="K128" s="80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63"/>
      <c r="B129" s="54"/>
      <c r="C129" s="64"/>
      <c r="D129" s="64"/>
      <c r="E129" s="55" t="b">
        <v>0</v>
      </c>
      <c r="F129" s="57"/>
      <c r="G129" s="57"/>
      <c r="H129" s="64"/>
      <c r="I129" s="64"/>
      <c r="J129" s="63"/>
      <c r="K129" s="80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63"/>
      <c r="B130" s="77"/>
      <c r="C130" s="93"/>
      <c r="D130" s="93" t="s">
        <v>62</v>
      </c>
      <c r="E130" s="70" t="b">
        <v>0</v>
      </c>
      <c r="F130" s="94"/>
      <c r="G130" s="94"/>
      <c r="H130" s="72" t="str">
        <f>COUNTIF(E130:E133, TRUE) &amp; "/" &amp; COUNTA(E130:E133)</f>
        <v>0/4</v>
      </c>
      <c r="I130" s="97">
        <f>COUNTIF(E130:E133, TRUE) / COUNTA(E130:E133)</f>
        <v>0</v>
      </c>
      <c r="J130" s="63"/>
      <c r="K130" s="80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63"/>
      <c r="B131" s="77"/>
      <c r="C131" s="63"/>
      <c r="D131" s="63"/>
      <c r="E131" s="70" t="b">
        <v>0</v>
      </c>
      <c r="F131" s="94"/>
      <c r="G131" s="94"/>
      <c r="H131" s="63"/>
      <c r="I131" s="63"/>
      <c r="J131" s="63"/>
      <c r="K131" s="80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63"/>
      <c r="B132" s="77"/>
      <c r="C132" s="63"/>
      <c r="D132" s="63"/>
      <c r="E132" s="70" t="b">
        <v>0</v>
      </c>
      <c r="F132" s="94"/>
      <c r="G132" s="94"/>
      <c r="H132" s="63"/>
      <c r="I132" s="63"/>
      <c r="J132" s="63"/>
      <c r="K132" s="80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63"/>
      <c r="B133" s="77"/>
      <c r="C133" s="64"/>
      <c r="D133" s="64"/>
      <c r="E133" s="70" t="b">
        <v>0</v>
      </c>
      <c r="F133" s="94"/>
      <c r="G133" s="94"/>
      <c r="H133" s="64"/>
      <c r="I133" s="64"/>
      <c r="J133" s="64"/>
      <c r="K133" s="80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63"/>
      <c r="B134" s="54"/>
      <c r="C134" s="86"/>
      <c r="D134" s="86" t="s">
        <v>56</v>
      </c>
      <c r="E134" s="55" t="b">
        <v>0</v>
      </c>
      <c r="F134" s="57"/>
      <c r="G134" s="57"/>
      <c r="H134" s="58" t="str">
        <f>COUNTIF(E134:E138, TRUE) &amp; "/" &amp; COUNTA(E134:E138)</f>
        <v>0/5</v>
      </c>
      <c r="I134" s="59">
        <f>COUNTIF(E134:E138, TRUE) / COUNTA(E134:E138)</f>
        <v>0</v>
      </c>
      <c r="J134" s="61">
        <f>COUNTIF(E134:E142, TRUE) / COUNTA(E134:E142)</f>
        <v>0</v>
      </c>
      <c r="K134" s="80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63"/>
      <c r="B135" s="54"/>
      <c r="C135" s="63"/>
      <c r="D135" s="63"/>
      <c r="E135" s="55" t="b">
        <v>0</v>
      </c>
      <c r="F135" s="57"/>
      <c r="G135" s="57"/>
      <c r="H135" s="63"/>
      <c r="I135" s="63"/>
      <c r="J135" s="63"/>
      <c r="K135" s="80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63"/>
      <c r="B136" s="54"/>
      <c r="C136" s="63"/>
      <c r="D136" s="63"/>
      <c r="E136" s="55" t="b">
        <v>0</v>
      </c>
      <c r="F136" s="57"/>
      <c r="G136" s="57"/>
      <c r="H136" s="63"/>
      <c r="I136" s="63"/>
      <c r="J136" s="63"/>
      <c r="K136" s="80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63"/>
      <c r="B137" s="54"/>
      <c r="C137" s="63"/>
      <c r="D137" s="63"/>
      <c r="E137" s="55" t="b">
        <v>0</v>
      </c>
      <c r="F137" s="57"/>
      <c r="G137" s="57"/>
      <c r="H137" s="63"/>
      <c r="I137" s="63"/>
      <c r="J137" s="63"/>
      <c r="K137" s="80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63"/>
      <c r="B138" s="54"/>
      <c r="C138" s="64"/>
      <c r="D138" s="64"/>
      <c r="E138" s="55" t="b">
        <v>0</v>
      </c>
      <c r="F138" s="57"/>
      <c r="G138" s="57"/>
      <c r="H138" s="64"/>
      <c r="I138" s="64"/>
      <c r="J138" s="63"/>
      <c r="K138" s="80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63"/>
      <c r="B139" s="77"/>
      <c r="C139" s="93"/>
      <c r="D139" s="93" t="s">
        <v>62</v>
      </c>
      <c r="E139" s="70" t="b">
        <v>0</v>
      </c>
      <c r="F139" s="94"/>
      <c r="G139" s="94"/>
      <c r="H139" s="72" t="str">
        <f>COUNTIF(E139:E142, TRUE) &amp; "/" &amp; COUNTA(E139:E142)</f>
        <v>0/4</v>
      </c>
      <c r="I139" s="97">
        <f>COUNTIF(E139:E142, TRUE) / COUNTA(E139:E142)</f>
        <v>0</v>
      </c>
      <c r="J139" s="63"/>
      <c r="K139" s="80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63"/>
      <c r="B140" s="77"/>
      <c r="C140" s="63"/>
      <c r="D140" s="63"/>
      <c r="E140" s="70" t="b">
        <v>0</v>
      </c>
      <c r="F140" s="94"/>
      <c r="G140" s="94"/>
      <c r="H140" s="63"/>
      <c r="I140" s="63"/>
      <c r="J140" s="63"/>
      <c r="K140" s="80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63"/>
      <c r="B141" s="77"/>
      <c r="C141" s="63"/>
      <c r="D141" s="63"/>
      <c r="E141" s="70" t="b">
        <v>0</v>
      </c>
      <c r="F141" s="94"/>
      <c r="G141" s="94"/>
      <c r="H141" s="63"/>
      <c r="I141" s="63"/>
      <c r="J141" s="63"/>
      <c r="K141" s="80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63"/>
      <c r="B142" s="77"/>
      <c r="C142" s="64"/>
      <c r="D142" s="64"/>
      <c r="E142" s="70" t="b">
        <v>0</v>
      </c>
      <c r="F142" s="94"/>
      <c r="G142" s="94"/>
      <c r="H142" s="64"/>
      <c r="I142" s="64"/>
      <c r="J142" s="64"/>
      <c r="K142" s="80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63"/>
      <c r="B143" s="54"/>
      <c r="C143" s="86"/>
      <c r="D143" s="86" t="s">
        <v>56</v>
      </c>
      <c r="E143" s="55" t="b">
        <v>0</v>
      </c>
      <c r="F143" s="57"/>
      <c r="G143" s="57"/>
      <c r="H143" s="58" t="str">
        <f>COUNTIF(E143:E147, TRUE) &amp; "/" &amp; COUNTA(E143:E147)</f>
        <v>0/5</v>
      </c>
      <c r="I143" s="59">
        <f>COUNTIF(E143:E147, TRUE) / COUNTA(E143:E147)</f>
        <v>0</v>
      </c>
      <c r="J143" s="61">
        <f>COUNTIF(E143:E151, TRUE) / COUNTA(E143:E151)</f>
        <v>0</v>
      </c>
      <c r="K143" s="80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63"/>
      <c r="B144" s="54"/>
      <c r="C144" s="63"/>
      <c r="D144" s="63"/>
      <c r="E144" s="55" t="b">
        <v>0</v>
      </c>
      <c r="F144" s="57"/>
      <c r="G144" s="57"/>
      <c r="H144" s="63"/>
      <c r="I144" s="63"/>
      <c r="J144" s="63"/>
      <c r="K144" s="80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63"/>
      <c r="B145" s="54"/>
      <c r="C145" s="63"/>
      <c r="D145" s="63"/>
      <c r="E145" s="55" t="b">
        <v>0</v>
      </c>
      <c r="F145" s="57"/>
      <c r="G145" s="57"/>
      <c r="H145" s="63"/>
      <c r="I145" s="63"/>
      <c r="J145" s="63"/>
      <c r="K145" s="80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63"/>
      <c r="B146" s="54"/>
      <c r="C146" s="63"/>
      <c r="D146" s="63"/>
      <c r="E146" s="55" t="b">
        <v>0</v>
      </c>
      <c r="F146" s="57"/>
      <c r="G146" s="57"/>
      <c r="H146" s="63"/>
      <c r="I146" s="63"/>
      <c r="J146" s="63"/>
      <c r="K146" s="80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63"/>
      <c r="B147" s="54"/>
      <c r="C147" s="64"/>
      <c r="D147" s="64"/>
      <c r="E147" s="55" t="b">
        <v>0</v>
      </c>
      <c r="F147" s="57"/>
      <c r="G147" s="57"/>
      <c r="H147" s="64"/>
      <c r="I147" s="64"/>
      <c r="J147" s="63"/>
      <c r="K147" s="80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63"/>
      <c r="B148" s="77"/>
      <c r="C148" s="93"/>
      <c r="D148" s="93" t="s">
        <v>62</v>
      </c>
      <c r="E148" s="70" t="b">
        <v>0</v>
      </c>
      <c r="F148" s="94"/>
      <c r="G148" s="94"/>
      <c r="H148" s="72" t="str">
        <f>COUNTIF(E148:E151, TRUE) &amp; "/" &amp; COUNTA(E148:E151)</f>
        <v>0/4</v>
      </c>
      <c r="I148" s="97">
        <f>COUNTIF(E148:E151, TRUE) / COUNTA(E148:E151)</f>
        <v>0</v>
      </c>
      <c r="J148" s="63"/>
      <c r="K148" s="80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63"/>
      <c r="B149" s="77"/>
      <c r="C149" s="63"/>
      <c r="D149" s="63"/>
      <c r="E149" s="70" t="b">
        <v>0</v>
      </c>
      <c r="F149" s="94"/>
      <c r="G149" s="94"/>
      <c r="H149" s="63"/>
      <c r="I149" s="63"/>
      <c r="J149" s="63"/>
      <c r="K149" s="80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63"/>
      <c r="B150" s="77"/>
      <c r="C150" s="63"/>
      <c r="D150" s="63"/>
      <c r="E150" s="70" t="b">
        <v>0</v>
      </c>
      <c r="F150" s="94"/>
      <c r="G150" s="94"/>
      <c r="H150" s="63"/>
      <c r="I150" s="63"/>
      <c r="J150" s="63"/>
      <c r="K150" s="80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64"/>
      <c r="B151" s="77"/>
      <c r="C151" s="64"/>
      <c r="D151" s="64"/>
      <c r="E151" s="70" t="b">
        <v>0</v>
      </c>
      <c r="F151" s="94"/>
      <c r="G151" s="94"/>
      <c r="H151" s="64"/>
      <c r="I151" s="64"/>
      <c r="J151" s="64"/>
      <c r="K151" s="80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42"/>
      <c r="C152" s="42"/>
      <c r="D152" s="21"/>
      <c r="E152" s="21"/>
      <c r="F152" s="32"/>
      <c r="G152" s="32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42"/>
      <c r="C153" s="42"/>
      <c r="D153" s="21"/>
      <c r="E153" s="21"/>
      <c r="F153" s="32"/>
      <c r="G153" s="32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42"/>
      <c r="C154" s="42"/>
      <c r="D154" s="21"/>
      <c r="E154" s="21"/>
      <c r="F154" s="32"/>
      <c r="G154" s="32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42"/>
      <c r="C155" s="42"/>
      <c r="D155" s="21"/>
      <c r="E155" s="21"/>
      <c r="F155" s="32"/>
      <c r="G155" s="32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42"/>
      <c r="C156" s="42"/>
      <c r="D156" s="21"/>
      <c r="E156" s="21"/>
      <c r="F156" s="32"/>
      <c r="G156" s="32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42"/>
      <c r="C157" s="42"/>
      <c r="D157" s="21"/>
      <c r="E157" s="21"/>
      <c r="F157" s="32"/>
      <c r="G157" s="32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42"/>
      <c r="C158" s="42"/>
      <c r="D158" s="21"/>
      <c r="E158" s="21"/>
      <c r="F158" s="32"/>
      <c r="G158" s="32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42"/>
      <c r="C159" s="42"/>
      <c r="D159" s="21"/>
      <c r="E159" s="21"/>
      <c r="F159" s="32"/>
      <c r="G159" s="32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42"/>
      <c r="C160" s="42"/>
      <c r="D160" s="21"/>
      <c r="E160" s="21"/>
      <c r="F160" s="32"/>
      <c r="G160" s="32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42"/>
      <c r="C161" s="42"/>
      <c r="D161" s="21"/>
      <c r="E161" s="21"/>
      <c r="F161" s="32"/>
      <c r="G161" s="32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42"/>
      <c r="C162" s="42"/>
      <c r="D162" s="21"/>
      <c r="E162" s="21"/>
      <c r="F162" s="32"/>
      <c r="G162" s="32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42"/>
      <c r="C163" s="42"/>
      <c r="D163" s="21"/>
      <c r="E163" s="21"/>
      <c r="F163" s="32"/>
      <c r="G163" s="32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42"/>
      <c r="C164" s="42"/>
      <c r="D164" s="21"/>
      <c r="E164" s="21"/>
      <c r="F164" s="32"/>
      <c r="G164" s="32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42"/>
      <c r="C165" s="42"/>
      <c r="D165" s="21"/>
      <c r="E165" s="21"/>
      <c r="F165" s="32"/>
      <c r="G165" s="32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42"/>
      <c r="C166" s="42"/>
      <c r="D166" s="21"/>
      <c r="E166" s="21"/>
      <c r="F166" s="32"/>
      <c r="G166" s="32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42"/>
      <c r="C167" s="42"/>
      <c r="D167" s="21"/>
      <c r="E167" s="21"/>
      <c r="F167" s="32"/>
      <c r="G167" s="32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42"/>
      <c r="C168" s="42"/>
      <c r="D168" s="21"/>
      <c r="E168" s="21"/>
      <c r="F168" s="32"/>
      <c r="G168" s="32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42"/>
      <c r="C169" s="42"/>
      <c r="D169" s="21"/>
      <c r="E169" s="21"/>
      <c r="F169" s="32"/>
      <c r="G169" s="32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42"/>
      <c r="C170" s="42"/>
      <c r="D170" s="21"/>
      <c r="E170" s="21"/>
      <c r="F170" s="32"/>
      <c r="G170" s="32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42"/>
      <c r="C171" s="42"/>
      <c r="D171" s="21"/>
      <c r="E171" s="21"/>
      <c r="F171" s="32"/>
      <c r="G171" s="32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42"/>
      <c r="C172" s="42"/>
      <c r="D172" s="21"/>
      <c r="E172" s="21"/>
      <c r="F172" s="32"/>
      <c r="G172" s="32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42"/>
      <c r="C173" s="42"/>
      <c r="D173" s="21"/>
      <c r="E173" s="21"/>
      <c r="F173" s="32"/>
      <c r="G173" s="32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42"/>
      <c r="C174" s="42"/>
      <c r="D174" s="21"/>
      <c r="E174" s="21"/>
      <c r="F174" s="32"/>
      <c r="G174" s="32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42"/>
      <c r="C175" s="42"/>
      <c r="D175" s="21"/>
      <c r="E175" s="21"/>
      <c r="F175" s="32"/>
      <c r="G175" s="32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42"/>
      <c r="C176" s="42"/>
      <c r="D176" s="21"/>
      <c r="E176" s="21"/>
      <c r="F176" s="32"/>
      <c r="G176" s="32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42"/>
      <c r="C177" s="42"/>
      <c r="D177" s="21"/>
      <c r="E177" s="21"/>
      <c r="F177" s="32"/>
      <c r="G177" s="32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42"/>
      <c r="C178" s="42"/>
      <c r="D178" s="21"/>
      <c r="E178" s="21"/>
      <c r="F178" s="32"/>
      <c r="G178" s="32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42"/>
      <c r="C179" s="42"/>
      <c r="D179" s="21"/>
      <c r="E179" s="21"/>
      <c r="F179" s="32"/>
      <c r="G179" s="32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42"/>
      <c r="C180" s="42"/>
      <c r="D180" s="21"/>
      <c r="E180" s="21"/>
      <c r="F180" s="32"/>
      <c r="G180" s="32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42"/>
      <c r="C181" s="42"/>
      <c r="D181" s="21"/>
      <c r="E181" s="21"/>
      <c r="F181" s="32"/>
      <c r="G181" s="32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42"/>
      <c r="C182" s="42"/>
      <c r="D182" s="21"/>
      <c r="E182" s="21"/>
      <c r="F182" s="32"/>
      <c r="G182" s="32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42"/>
      <c r="C183" s="42"/>
      <c r="D183" s="21"/>
      <c r="E183" s="21"/>
      <c r="F183" s="32"/>
      <c r="G183" s="32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42"/>
      <c r="C184" s="42"/>
      <c r="D184" s="21"/>
      <c r="E184" s="21"/>
      <c r="F184" s="32"/>
      <c r="G184" s="32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42"/>
      <c r="C185" s="42"/>
      <c r="D185" s="21"/>
      <c r="E185" s="21"/>
      <c r="F185" s="32"/>
      <c r="G185" s="32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42"/>
      <c r="C186" s="42"/>
      <c r="D186" s="21"/>
      <c r="E186" s="21"/>
      <c r="F186" s="32"/>
      <c r="G186" s="32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42"/>
      <c r="C187" s="42"/>
      <c r="D187" s="21"/>
      <c r="E187" s="21"/>
      <c r="F187" s="32"/>
      <c r="G187" s="32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42"/>
      <c r="C188" s="42"/>
      <c r="D188" s="21"/>
      <c r="E188" s="21"/>
      <c r="F188" s="32"/>
      <c r="G188" s="32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42"/>
      <c r="C189" s="42"/>
      <c r="D189" s="21"/>
      <c r="E189" s="21"/>
      <c r="F189" s="32"/>
      <c r="G189" s="32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42"/>
      <c r="C190" s="42"/>
      <c r="D190" s="21"/>
      <c r="E190" s="21"/>
      <c r="F190" s="32"/>
      <c r="G190" s="32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42"/>
      <c r="C191" s="42"/>
      <c r="D191" s="21"/>
      <c r="E191" s="21"/>
      <c r="F191" s="32"/>
      <c r="G191" s="32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42"/>
      <c r="C192" s="42"/>
      <c r="D192" s="21"/>
      <c r="E192" s="21"/>
      <c r="F192" s="32"/>
      <c r="G192" s="32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42"/>
      <c r="C193" s="42"/>
      <c r="D193" s="21"/>
      <c r="E193" s="21"/>
      <c r="F193" s="32"/>
      <c r="G193" s="32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42"/>
      <c r="C194" s="42"/>
      <c r="D194" s="21"/>
      <c r="E194" s="21"/>
      <c r="F194" s="32"/>
      <c r="G194" s="32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42"/>
      <c r="C195" s="42"/>
      <c r="D195" s="21"/>
      <c r="E195" s="21"/>
      <c r="F195" s="32"/>
      <c r="G195" s="32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42"/>
      <c r="C196" s="42"/>
      <c r="D196" s="21"/>
      <c r="E196" s="21"/>
      <c r="F196" s="32"/>
      <c r="G196" s="32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42"/>
      <c r="C197" s="42"/>
      <c r="D197" s="21"/>
      <c r="E197" s="21"/>
      <c r="F197" s="32"/>
      <c r="G197" s="32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42"/>
      <c r="C198" s="42"/>
      <c r="D198" s="21"/>
      <c r="E198" s="21"/>
      <c r="F198" s="32"/>
      <c r="G198" s="32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42"/>
      <c r="C199" s="42"/>
      <c r="D199" s="21"/>
      <c r="E199" s="21"/>
      <c r="F199" s="32"/>
      <c r="G199" s="32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42"/>
      <c r="C200" s="42"/>
      <c r="D200" s="21"/>
      <c r="E200" s="21"/>
      <c r="F200" s="32"/>
      <c r="G200" s="32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42"/>
      <c r="C201" s="42"/>
      <c r="D201" s="21"/>
      <c r="E201" s="21"/>
      <c r="F201" s="32"/>
      <c r="G201" s="32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42"/>
      <c r="C202" s="42"/>
      <c r="D202" s="21"/>
      <c r="E202" s="21"/>
      <c r="F202" s="32"/>
      <c r="G202" s="32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42"/>
      <c r="C203" s="42"/>
      <c r="D203" s="21"/>
      <c r="E203" s="21"/>
      <c r="F203" s="32"/>
      <c r="G203" s="32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42"/>
      <c r="C204" s="42"/>
      <c r="D204" s="21"/>
      <c r="E204" s="21"/>
      <c r="F204" s="32"/>
      <c r="G204" s="32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42"/>
      <c r="C205" s="42"/>
      <c r="D205" s="21"/>
      <c r="E205" s="21"/>
      <c r="F205" s="32"/>
      <c r="G205" s="32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42"/>
      <c r="C206" s="42"/>
      <c r="D206" s="21"/>
      <c r="E206" s="21"/>
      <c r="F206" s="32"/>
      <c r="G206" s="32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42"/>
      <c r="C207" s="42"/>
      <c r="D207" s="21"/>
      <c r="E207" s="21"/>
      <c r="F207" s="32"/>
      <c r="G207" s="32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42"/>
      <c r="C208" s="42"/>
      <c r="D208" s="21"/>
      <c r="E208" s="21"/>
      <c r="F208" s="32"/>
      <c r="G208" s="32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42"/>
      <c r="C209" s="42"/>
      <c r="D209" s="21"/>
      <c r="E209" s="21"/>
      <c r="F209" s="32"/>
      <c r="G209" s="32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42"/>
      <c r="C210" s="42"/>
      <c r="D210" s="21"/>
      <c r="E210" s="21"/>
      <c r="F210" s="32"/>
      <c r="G210" s="32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42"/>
      <c r="C211" s="42"/>
      <c r="D211" s="21"/>
      <c r="E211" s="21"/>
      <c r="F211" s="32"/>
      <c r="G211" s="32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42"/>
      <c r="C212" s="42"/>
      <c r="D212" s="21"/>
      <c r="E212" s="21"/>
      <c r="F212" s="32"/>
      <c r="G212" s="32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42"/>
      <c r="C213" s="42"/>
      <c r="D213" s="21"/>
      <c r="E213" s="21"/>
      <c r="F213" s="32"/>
      <c r="G213" s="32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42"/>
      <c r="C214" s="42"/>
      <c r="D214" s="21"/>
      <c r="E214" s="21"/>
      <c r="F214" s="32"/>
      <c r="G214" s="32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42"/>
      <c r="C215" s="42"/>
      <c r="D215" s="21"/>
      <c r="E215" s="21"/>
      <c r="F215" s="32"/>
      <c r="G215" s="32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42"/>
      <c r="C216" s="42"/>
      <c r="D216" s="21"/>
      <c r="E216" s="21"/>
      <c r="F216" s="32"/>
      <c r="G216" s="32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42"/>
      <c r="C217" s="42"/>
      <c r="D217" s="21"/>
      <c r="E217" s="21"/>
      <c r="F217" s="32"/>
      <c r="G217" s="32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42"/>
      <c r="C218" s="42"/>
      <c r="D218" s="21"/>
      <c r="E218" s="21"/>
      <c r="F218" s="32"/>
      <c r="G218" s="32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42"/>
      <c r="C219" s="42"/>
      <c r="D219" s="21"/>
      <c r="E219" s="21"/>
      <c r="F219" s="32"/>
      <c r="G219" s="32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42"/>
      <c r="C220" s="42"/>
      <c r="D220" s="21"/>
      <c r="E220" s="21"/>
      <c r="F220" s="32"/>
      <c r="G220" s="32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42"/>
      <c r="C221" s="42"/>
      <c r="D221" s="21"/>
      <c r="E221" s="21"/>
      <c r="F221" s="32"/>
      <c r="G221" s="32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42"/>
      <c r="C222" s="42"/>
      <c r="D222" s="21"/>
      <c r="E222" s="21"/>
      <c r="F222" s="32"/>
      <c r="G222" s="32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42"/>
      <c r="C223" s="42"/>
      <c r="D223" s="21"/>
      <c r="E223" s="21"/>
      <c r="F223" s="32"/>
      <c r="G223" s="32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42"/>
      <c r="C224" s="42"/>
      <c r="D224" s="21"/>
      <c r="E224" s="21"/>
      <c r="F224" s="32"/>
      <c r="G224" s="32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42"/>
      <c r="C225" s="42"/>
      <c r="D225" s="21"/>
      <c r="E225" s="21"/>
      <c r="F225" s="32"/>
      <c r="G225" s="32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42"/>
      <c r="C226" s="42"/>
      <c r="D226" s="21"/>
      <c r="E226" s="21"/>
      <c r="F226" s="32"/>
      <c r="G226" s="32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42"/>
      <c r="C227" s="42"/>
      <c r="D227" s="21"/>
      <c r="E227" s="21"/>
      <c r="F227" s="32"/>
      <c r="G227" s="32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42"/>
      <c r="C228" s="42"/>
      <c r="D228" s="21"/>
      <c r="E228" s="21"/>
      <c r="F228" s="32"/>
      <c r="G228" s="32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42"/>
      <c r="C229" s="42"/>
      <c r="D229" s="21"/>
      <c r="E229" s="21"/>
      <c r="F229" s="32"/>
      <c r="G229" s="32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42"/>
      <c r="C230" s="42"/>
      <c r="D230" s="21"/>
      <c r="E230" s="21"/>
      <c r="F230" s="32"/>
      <c r="G230" s="32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42"/>
      <c r="C231" s="42"/>
      <c r="D231" s="21"/>
      <c r="E231" s="21"/>
      <c r="F231" s="32"/>
      <c r="G231" s="32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42"/>
      <c r="C232" s="42"/>
      <c r="D232" s="21"/>
      <c r="E232" s="21"/>
      <c r="F232" s="32"/>
      <c r="G232" s="32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42"/>
      <c r="C233" s="42"/>
      <c r="D233" s="21"/>
      <c r="E233" s="21"/>
      <c r="F233" s="32"/>
      <c r="G233" s="32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42"/>
      <c r="C234" s="42"/>
      <c r="D234" s="21"/>
      <c r="E234" s="21"/>
      <c r="F234" s="32"/>
      <c r="G234" s="32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42"/>
      <c r="C235" s="42"/>
      <c r="D235" s="21"/>
      <c r="E235" s="21"/>
      <c r="F235" s="32"/>
      <c r="G235" s="32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42"/>
      <c r="C236" s="42"/>
      <c r="D236" s="21"/>
      <c r="E236" s="21"/>
      <c r="F236" s="32"/>
      <c r="G236" s="32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42"/>
      <c r="C237" s="42"/>
      <c r="D237" s="21"/>
      <c r="E237" s="21"/>
      <c r="F237" s="32"/>
      <c r="G237" s="32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42"/>
      <c r="C238" s="42"/>
      <c r="D238" s="21"/>
      <c r="E238" s="21"/>
      <c r="F238" s="32"/>
      <c r="G238" s="32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42"/>
      <c r="C239" s="42"/>
      <c r="D239" s="21"/>
      <c r="E239" s="21"/>
      <c r="F239" s="32"/>
      <c r="G239" s="32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42"/>
      <c r="C240" s="42"/>
      <c r="D240" s="21"/>
      <c r="E240" s="21"/>
      <c r="F240" s="32"/>
      <c r="G240" s="32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42"/>
      <c r="C241" s="42"/>
      <c r="D241" s="21"/>
      <c r="E241" s="21"/>
      <c r="F241" s="32"/>
      <c r="G241" s="32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42"/>
      <c r="C242" s="42"/>
      <c r="D242" s="21"/>
      <c r="E242" s="21"/>
      <c r="F242" s="32"/>
      <c r="G242" s="32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42"/>
      <c r="C243" s="42"/>
      <c r="D243" s="21"/>
      <c r="E243" s="21"/>
      <c r="F243" s="32"/>
      <c r="G243" s="32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42"/>
      <c r="C244" s="42"/>
      <c r="D244" s="21"/>
      <c r="E244" s="21"/>
      <c r="F244" s="32"/>
      <c r="G244" s="32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42"/>
      <c r="C245" s="42"/>
      <c r="D245" s="21"/>
      <c r="E245" s="21"/>
      <c r="F245" s="32"/>
      <c r="G245" s="32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42"/>
      <c r="C246" s="42"/>
      <c r="D246" s="21"/>
      <c r="E246" s="21"/>
      <c r="F246" s="32"/>
      <c r="G246" s="32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42"/>
      <c r="C247" s="42"/>
      <c r="D247" s="21"/>
      <c r="E247" s="21"/>
      <c r="F247" s="32"/>
      <c r="G247" s="32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42"/>
      <c r="C248" s="42"/>
      <c r="D248" s="21"/>
      <c r="E248" s="21"/>
      <c r="F248" s="32"/>
      <c r="G248" s="32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42"/>
      <c r="C249" s="42"/>
      <c r="D249" s="21"/>
      <c r="E249" s="21"/>
      <c r="F249" s="32"/>
      <c r="G249" s="32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42"/>
      <c r="C250" s="42"/>
      <c r="D250" s="21"/>
      <c r="E250" s="21"/>
      <c r="F250" s="32"/>
      <c r="G250" s="32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42"/>
      <c r="C251" s="42"/>
      <c r="D251" s="21"/>
      <c r="E251" s="21"/>
      <c r="F251" s="32"/>
      <c r="G251" s="32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42"/>
      <c r="C252" s="42"/>
      <c r="D252" s="21"/>
      <c r="E252" s="21"/>
      <c r="F252" s="32"/>
      <c r="G252" s="32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42"/>
      <c r="C253" s="42"/>
      <c r="D253" s="21"/>
      <c r="E253" s="21"/>
      <c r="F253" s="32"/>
      <c r="G253" s="32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42"/>
      <c r="C254" s="42"/>
      <c r="D254" s="21"/>
      <c r="E254" s="21"/>
      <c r="F254" s="32"/>
      <c r="G254" s="32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42"/>
      <c r="C255" s="42"/>
      <c r="D255" s="21"/>
      <c r="E255" s="21"/>
      <c r="F255" s="32"/>
      <c r="G255" s="32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42"/>
      <c r="C256" s="42"/>
      <c r="D256" s="21"/>
      <c r="E256" s="21"/>
      <c r="F256" s="32"/>
      <c r="G256" s="32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42"/>
      <c r="C257" s="42"/>
      <c r="D257" s="21"/>
      <c r="E257" s="21"/>
      <c r="F257" s="32"/>
      <c r="G257" s="32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42"/>
      <c r="C258" s="42"/>
      <c r="D258" s="21"/>
      <c r="E258" s="21"/>
      <c r="F258" s="32"/>
      <c r="G258" s="32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42"/>
      <c r="C259" s="42"/>
      <c r="D259" s="21"/>
      <c r="E259" s="21"/>
      <c r="F259" s="32"/>
      <c r="G259" s="32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42"/>
      <c r="C260" s="42"/>
      <c r="D260" s="21"/>
      <c r="E260" s="21"/>
      <c r="F260" s="32"/>
      <c r="G260" s="32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42"/>
      <c r="C261" s="42"/>
      <c r="D261" s="21"/>
      <c r="E261" s="21"/>
      <c r="F261" s="32"/>
      <c r="G261" s="32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42"/>
      <c r="C262" s="42"/>
      <c r="D262" s="21"/>
      <c r="E262" s="21"/>
      <c r="F262" s="32"/>
      <c r="G262" s="32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42"/>
      <c r="C263" s="42"/>
      <c r="D263" s="21"/>
      <c r="E263" s="21"/>
      <c r="F263" s="32"/>
      <c r="G263" s="32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42"/>
      <c r="C264" s="42"/>
      <c r="D264" s="21"/>
      <c r="E264" s="21"/>
      <c r="F264" s="32"/>
      <c r="G264" s="32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42"/>
      <c r="C265" s="42"/>
      <c r="D265" s="21"/>
      <c r="E265" s="21"/>
      <c r="F265" s="32"/>
      <c r="G265" s="32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42"/>
      <c r="C266" s="42"/>
      <c r="D266" s="21"/>
      <c r="E266" s="21"/>
      <c r="F266" s="32"/>
      <c r="G266" s="32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42"/>
      <c r="C267" s="42"/>
      <c r="D267" s="21"/>
      <c r="E267" s="21"/>
      <c r="F267" s="32"/>
      <c r="G267" s="32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42"/>
      <c r="C268" s="42"/>
      <c r="D268" s="21"/>
      <c r="E268" s="21"/>
      <c r="F268" s="32"/>
      <c r="G268" s="32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42"/>
      <c r="C269" s="42"/>
      <c r="D269" s="21"/>
      <c r="E269" s="21"/>
      <c r="F269" s="32"/>
      <c r="G269" s="32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42"/>
      <c r="C270" s="42"/>
      <c r="D270" s="21"/>
      <c r="E270" s="21"/>
      <c r="F270" s="32"/>
      <c r="G270" s="32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42"/>
      <c r="C271" s="42"/>
      <c r="D271" s="21"/>
      <c r="E271" s="21"/>
      <c r="F271" s="32"/>
      <c r="G271" s="32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42"/>
      <c r="C272" s="42"/>
      <c r="D272" s="21"/>
      <c r="E272" s="21"/>
      <c r="F272" s="32"/>
      <c r="G272" s="32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42"/>
      <c r="C273" s="42"/>
      <c r="D273" s="21"/>
      <c r="E273" s="21"/>
      <c r="F273" s="32"/>
      <c r="G273" s="32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42"/>
      <c r="C274" s="42"/>
      <c r="D274" s="21"/>
      <c r="E274" s="21"/>
      <c r="F274" s="32"/>
      <c r="G274" s="32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42"/>
      <c r="C275" s="42"/>
      <c r="D275" s="21"/>
      <c r="E275" s="21"/>
      <c r="F275" s="32"/>
      <c r="G275" s="32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42"/>
      <c r="C276" s="42"/>
      <c r="D276" s="21"/>
      <c r="E276" s="21"/>
      <c r="F276" s="32"/>
      <c r="G276" s="32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42"/>
      <c r="C277" s="42"/>
      <c r="D277" s="21"/>
      <c r="E277" s="21"/>
      <c r="F277" s="32"/>
      <c r="G277" s="32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42"/>
      <c r="C278" s="42"/>
      <c r="D278" s="21"/>
      <c r="E278" s="21"/>
      <c r="F278" s="32"/>
      <c r="G278" s="32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42"/>
      <c r="C279" s="42"/>
      <c r="D279" s="21"/>
      <c r="E279" s="21"/>
      <c r="F279" s="32"/>
      <c r="G279" s="32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42"/>
      <c r="C280" s="42"/>
      <c r="D280" s="21"/>
      <c r="E280" s="21"/>
      <c r="F280" s="32"/>
      <c r="G280" s="32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42"/>
      <c r="C281" s="42"/>
      <c r="D281" s="21"/>
      <c r="E281" s="21"/>
      <c r="F281" s="32"/>
      <c r="G281" s="32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42"/>
      <c r="C282" s="42"/>
      <c r="D282" s="21"/>
      <c r="E282" s="21"/>
      <c r="F282" s="32"/>
      <c r="G282" s="32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42"/>
      <c r="C283" s="42"/>
      <c r="D283" s="21"/>
      <c r="E283" s="21"/>
      <c r="F283" s="32"/>
      <c r="G283" s="32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42"/>
      <c r="C284" s="42"/>
      <c r="D284" s="21"/>
      <c r="E284" s="21"/>
      <c r="F284" s="32"/>
      <c r="G284" s="32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42"/>
      <c r="C285" s="42"/>
      <c r="D285" s="21"/>
      <c r="E285" s="21"/>
      <c r="F285" s="32"/>
      <c r="G285" s="32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42"/>
      <c r="C286" s="42"/>
      <c r="D286" s="21"/>
      <c r="E286" s="21"/>
      <c r="F286" s="32"/>
      <c r="G286" s="32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42"/>
      <c r="C287" s="42"/>
      <c r="D287" s="21"/>
      <c r="E287" s="21"/>
      <c r="F287" s="32"/>
      <c r="G287" s="32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42"/>
      <c r="C288" s="42"/>
      <c r="D288" s="21"/>
      <c r="E288" s="21"/>
      <c r="F288" s="32"/>
      <c r="G288" s="32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42"/>
      <c r="C289" s="42"/>
      <c r="D289" s="21"/>
      <c r="E289" s="21"/>
      <c r="F289" s="32"/>
      <c r="G289" s="32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42"/>
      <c r="C290" s="42"/>
      <c r="D290" s="21"/>
      <c r="E290" s="21"/>
      <c r="F290" s="32"/>
      <c r="G290" s="32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42"/>
      <c r="C291" s="42"/>
      <c r="D291" s="21"/>
      <c r="E291" s="21"/>
      <c r="F291" s="32"/>
      <c r="G291" s="32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42"/>
      <c r="C292" s="42"/>
      <c r="D292" s="21"/>
      <c r="E292" s="21"/>
      <c r="F292" s="32"/>
      <c r="G292" s="32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42"/>
      <c r="C293" s="42"/>
      <c r="D293" s="21"/>
      <c r="E293" s="21"/>
      <c r="F293" s="32"/>
      <c r="G293" s="32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42"/>
      <c r="C294" s="42"/>
      <c r="D294" s="21"/>
      <c r="E294" s="21"/>
      <c r="F294" s="32"/>
      <c r="G294" s="32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42"/>
      <c r="C295" s="42"/>
      <c r="D295" s="21"/>
      <c r="E295" s="21"/>
      <c r="F295" s="32"/>
      <c r="G295" s="32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42"/>
      <c r="C296" s="42"/>
      <c r="D296" s="21"/>
      <c r="E296" s="21"/>
      <c r="F296" s="32"/>
      <c r="G296" s="32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42"/>
      <c r="C297" s="42"/>
      <c r="D297" s="21"/>
      <c r="E297" s="21"/>
      <c r="F297" s="32"/>
      <c r="G297" s="32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42"/>
      <c r="C298" s="42"/>
      <c r="D298" s="21"/>
      <c r="E298" s="21"/>
      <c r="F298" s="32"/>
      <c r="G298" s="32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42"/>
      <c r="C299" s="42"/>
      <c r="D299" s="21"/>
      <c r="E299" s="21"/>
      <c r="F299" s="32"/>
      <c r="G299" s="32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42"/>
      <c r="C300" s="42"/>
      <c r="D300" s="21"/>
      <c r="E300" s="21"/>
      <c r="F300" s="32"/>
      <c r="G300" s="32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42"/>
      <c r="C301" s="42"/>
      <c r="D301" s="21"/>
      <c r="E301" s="21"/>
      <c r="F301" s="32"/>
      <c r="G301" s="32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42"/>
      <c r="C302" s="42"/>
      <c r="D302" s="21"/>
      <c r="E302" s="21"/>
      <c r="F302" s="32"/>
      <c r="G302" s="32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42"/>
      <c r="C303" s="42"/>
      <c r="D303" s="21"/>
      <c r="E303" s="21"/>
      <c r="F303" s="32"/>
      <c r="G303" s="32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42"/>
      <c r="C304" s="42"/>
      <c r="D304" s="21"/>
      <c r="E304" s="21"/>
      <c r="F304" s="32"/>
      <c r="G304" s="32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42"/>
      <c r="C305" s="42"/>
      <c r="D305" s="21"/>
      <c r="E305" s="21"/>
      <c r="F305" s="32"/>
      <c r="G305" s="32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42"/>
      <c r="C306" s="42"/>
      <c r="D306" s="21"/>
      <c r="E306" s="21"/>
      <c r="F306" s="32"/>
      <c r="G306" s="32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42"/>
      <c r="C307" s="42"/>
      <c r="D307" s="21"/>
      <c r="E307" s="21"/>
      <c r="F307" s="32"/>
      <c r="G307" s="32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42"/>
      <c r="C308" s="42"/>
      <c r="D308" s="21"/>
      <c r="E308" s="21"/>
      <c r="F308" s="32"/>
      <c r="G308" s="32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42"/>
      <c r="C309" s="42"/>
      <c r="D309" s="21"/>
      <c r="E309" s="21"/>
      <c r="F309" s="32"/>
      <c r="G309" s="32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42"/>
      <c r="C310" s="42"/>
      <c r="D310" s="21"/>
      <c r="E310" s="21"/>
      <c r="F310" s="32"/>
      <c r="G310" s="32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42"/>
      <c r="C311" s="42"/>
      <c r="D311" s="21"/>
      <c r="E311" s="21"/>
      <c r="F311" s="32"/>
      <c r="G311" s="32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42"/>
      <c r="C312" s="42"/>
      <c r="D312" s="21"/>
      <c r="E312" s="21"/>
      <c r="F312" s="32"/>
      <c r="G312" s="32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42"/>
      <c r="C313" s="42"/>
      <c r="D313" s="21"/>
      <c r="E313" s="21"/>
      <c r="F313" s="32"/>
      <c r="G313" s="32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42"/>
      <c r="C314" s="42"/>
      <c r="D314" s="21"/>
      <c r="E314" s="21"/>
      <c r="F314" s="32"/>
      <c r="G314" s="32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42"/>
      <c r="C315" s="42"/>
      <c r="D315" s="21"/>
      <c r="E315" s="21"/>
      <c r="F315" s="32"/>
      <c r="G315" s="32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42"/>
      <c r="C316" s="42"/>
      <c r="D316" s="21"/>
      <c r="E316" s="21"/>
      <c r="F316" s="32"/>
      <c r="G316" s="32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42"/>
      <c r="C317" s="42"/>
      <c r="D317" s="21"/>
      <c r="E317" s="21"/>
      <c r="F317" s="32"/>
      <c r="G317" s="32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42"/>
      <c r="C318" s="42"/>
      <c r="D318" s="21"/>
      <c r="E318" s="21"/>
      <c r="F318" s="32"/>
      <c r="G318" s="32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42"/>
      <c r="C319" s="42"/>
      <c r="D319" s="21"/>
      <c r="E319" s="21"/>
      <c r="F319" s="32"/>
      <c r="G319" s="32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42"/>
      <c r="C320" s="42"/>
      <c r="D320" s="21"/>
      <c r="E320" s="21"/>
      <c r="F320" s="32"/>
      <c r="G320" s="32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42"/>
      <c r="C321" s="42"/>
      <c r="D321" s="21"/>
      <c r="E321" s="21"/>
      <c r="F321" s="32"/>
      <c r="G321" s="32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42"/>
      <c r="C322" s="42"/>
      <c r="D322" s="21"/>
      <c r="E322" s="21"/>
      <c r="F322" s="32"/>
      <c r="G322" s="32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42"/>
      <c r="C323" s="42"/>
      <c r="D323" s="21"/>
      <c r="E323" s="21"/>
      <c r="F323" s="32"/>
      <c r="G323" s="32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42"/>
      <c r="C324" s="42"/>
      <c r="D324" s="21"/>
      <c r="E324" s="21"/>
      <c r="F324" s="32"/>
      <c r="G324" s="32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42"/>
      <c r="C325" s="42"/>
      <c r="D325" s="21"/>
      <c r="E325" s="21"/>
      <c r="F325" s="32"/>
      <c r="G325" s="32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42"/>
      <c r="C326" s="42"/>
      <c r="D326" s="21"/>
      <c r="E326" s="21"/>
      <c r="F326" s="32"/>
      <c r="G326" s="32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42"/>
      <c r="C327" s="42"/>
      <c r="D327" s="21"/>
      <c r="E327" s="21"/>
      <c r="F327" s="32"/>
      <c r="G327" s="32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42"/>
      <c r="C328" s="42"/>
      <c r="D328" s="21"/>
      <c r="E328" s="21"/>
      <c r="F328" s="32"/>
      <c r="G328" s="32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42"/>
      <c r="C329" s="42"/>
      <c r="D329" s="21"/>
      <c r="E329" s="21"/>
      <c r="F329" s="32"/>
      <c r="G329" s="32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42"/>
      <c r="C330" s="42"/>
      <c r="D330" s="21"/>
      <c r="E330" s="21"/>
      <c r="F330" s="32"/>
      <c r="G330" s="32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42"/>
      <c r="C331" s="42"/>
      <c r="D331" s="21"/>
      <c r="E331" s="21"/>
      <c r="F331" s="32"/>
      <c r="G331" s="32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42"/>
      <c r="C332" s="42"/>
      <c r="D332" s="21"/>
      <c r="E332" s="21"/>
      <c r="F332" s="32"/>
      <c r="G332" s="32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42"/>
      <c r="C333" s="42"/>
      <c r="D333" s="21"/>
      <c r="E333" s="21"/>
      <c r="F333" s="32"/>
      <c r="G333" s="32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42"/>
      <c r="C334" s="42"/>
      <c r="D334" s="21"/>
      <c r="E334" s="21"/>
      <c r="F334" s="32"/>
      <c r="G334" s="32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42"/>
      <c r="C335" s="42"/>
      <c r="D335" s="21"/>
      <c r="E335" s="21"/>
      <c r="F335" s="32"/>
      <c r="G335" s="32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42"/>
      <c r="C336" s="42"/>
      <c r="D336" s="21"/>
      <c r="E336" s="21"/>
      <c r="F336" s="32"/>
      <c r="G336" s="32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42"/>
      <c r="C337" s="42"/>
      <c r="D337" s="21"/>
      <c r="E337" s="21"/>
      <c r="F337" s="32"/>
      <c r="G337" s="32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42"/>
      <c r="C338" s="42"/>
      <c r="D338" s="21"/>
      <c r="E338" s="21"/>
      <c r="F338" s="32"/>
      <c r="G338" s="32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42"/>
      <c r="C339" s="42"/>
      <c r="D339" s="21"/>
      <c r="E339" s="21"/>
      <c r="F339" s="32"/>
      <c r="G339" s="32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42"/>
      <c r="C340" s="42"/>
      <c r="D340" s="21"/>
      <c r="E340" s="21"/>
      <c r="F340" s="32"/>
      <c r="G340" s="32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42"/>
      <c r="C341" s="42"/>
      <c r="D341" s="21"/>
      <c r="E341" s="21"/>
      <c r="F341" s="32"/>
      <c r="G341" s="32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42"/>
      <c r="C342" s="42"/>
      <c r="D342" s="21"/>
      <c r="E342" s="21"/>
      <c r="F342" s="32"/>
      <c r="G342" s="32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42"/>
      <c r="C343" s="42"/>
      <c r="D343" s="21"/>
      <c r="E343" s="21"/>
      <c r="F343" s="32"/>
      <c r="G343" s="32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42"/>
      <c r="C344" s="42"/>
      <c r="D344" s="21"/>
      <c r="E344" s="21"/>
      <c r="F344" s="32"/>
      <c r="G344" s="32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42"/>
      <c r="C345" s="42"/>
      <c r="D345" s="21"/>
      <c r="E345" s="21"/>
      <c r="F345" s="32"/>
      <c r="G345" s="32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42"/>
      <c r="C346" s="42"/>
      <c r="D346" s="21"/>
      <c r="E346" s="21"/>
      <c r="F346" s="32"/>
      <c r="G346" s="32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42"/>
      <c r="C347" s="42"/>
      <c r="D347" s="21"/>
      <c r="E347" s="21"/>
      <c r="F347" s="32"/>
      <c r="G347" s="32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42"/>
      <c r="C348" s="42"/>
      <c r="D348" s="21"/>
      <c r="E348" s="21"/>
      <c r="F348" s="32"/>
      <c r="G348" s="32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42"/>
      <c r="C349" s="42"/>
      <c r="D349" s="21"/>
      <c r="E349" s="21"/>
      <c r="F349" s="32"/>
      <c r="G349" s="32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42"/>
      <c r="C350" s="42"/>
      <c r="D350" s="21"/>
      <c r="E350" s="21"/>
      <c r="F350" s="32"/>
      <c r="G350" s="32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42"/>
      <c r="C351" s="42"/>
      <c r="D351" s="21"/>
      <c r="E351" s="21"/>
      <c r="F351" s="32"/>
      <c r="G351" s="32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42"/>
      <c r="C352" s="42"/>
      <c r="D352" s="21"/>
      <c r="E352" s="21"/>
      <c r="F352" s="32"/>
      <c r="G352" s="32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42"/>
      <c r="C353" s="42"/>
      <c r="D353" s="21"/>
      <c r="E353" s="21"/>
      <c r="F353" s="32"/>
      <c r="G353" s="32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42"/>
      <c r="C354" s="42"/>
      <c r="D354" s="21"/>
      <c r="E354" s="21"/>
      <c r="F354" s="32"/>
      <c r="G354" s="32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42"/>
      <c r="C355" s="42"/>
      <c r="D355" s="21"/>
      <c r="E355" s="21"/>
      <c r="F355" s="32"/>
      <c r="G355" s="32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42"/>
      <c r="C356" s="42"/>
      <c r="D356" s="21"/>
      <c r="E356" s="21"/>
      <c r="F356" s="32"/>
      <c r="G356" s="32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42"/>
      <c r="C357" s="42"/>
      <c r="D357" s="21"/>
      <c r="E357" s="21"/>
      <c r="F357" s="32"/>
      <c r="G357" s="32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42"/>
      <c r="C358" s="42"/>
      <c r="D358" s="21"/>
      <c r="E358" s="21"/>
      <c r="F358" s="32"/>
      <c r="G358" s="32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42"/>
      <c r="C359" s="42"/>
      <c r="D359" s="21"/>
      <c r="E359" s="21"/>
      <c r="F359" s="32"/>
      <c r="G359" s="32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42"/>
      <c r="C360" s="42"/>
      <c r="D360" s="21"/>
      <c r="E360" s="21"/>
      <c r="F360" s="32"/>
      <c r="G360" s="32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42"/>
      <c r="C361" s="42"/>
      <c r="D361" s="21"/>
      <c r="E361" s="21"/>
      <c r="F361" s="32"/>
      <c r="G361" s="32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42"/>
      <c r="C362" s="42"/>
      <c r="D362" s="21"/>
      <c r="E362" s="21"/>
      <c r="F362" s="32"/>
      <c r="G362" s="32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42"/>
      <c r="C363" s="42"/>
      <c r="D363" s="21"/>
      <c r="E363" s="21"/>
      <c r="F363" s="32"/>
      <c r="G363" s="32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42"/>
      <c r="C364" s="42"/>
      <c r="D364" s="21"/>
      <c r="E364" s="21"/>
      <c r="F364" s="32"/>
      <c r="G364" s="32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42"/>
      <c r="C365" s="42"/>
      <c r="D365" s="21"/>
      <c r="E365" s="21"/>
      <c r="F365" s="32"/>
      <c r="G365" s="32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42"/>
      <c r="C366" s="42"/>
      <c r="D366" s="21"/>
      <c r="E366" s="21"/>
      <c r="F366" s="32"/>
      <c r="G366" s="32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42"/>
      <c r="C367" s="42"/>
      <c r="D367" s="21"/>
      <c r="E367" s="21"/>
      <c r="F367" s="32"/>
      <c r="G367" s="32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42"/>
      <c r="C368" s="42"/>
      <c r="D368" s="21"/>
      <c r="E368" s="21"/>
      <c r="F368" s="32"/>
      <c r="G368" s="32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42"/>
      <c r="C369" s="42"/>
      <c r="D369" s="21"/>
      <c r="E369" s="21"/>
      <c r="F369" s="32"/>
      <c r="G369" s="32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42"/>
      <c r="C370" s="42"/>
      <c r="D370" s="21"/>
      <c r="E370" s="21"/>
      <c r="F370" s="32"/>
      <c r="G370" s="32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42"/>
      <c r="C371" s="42"/>
      <c r="D371" s="21"/>
      <c r="E371" s="21"/>
      <c r="F371" s="32"/>
      <c r="G371" s="32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42"/>
      <c r="C372" s="42"/>
      <c r="D372" s="21"/>
      <c r="E372" s="21"/>
      <c r="F372" s="32"/>
      <c r="G372" s="32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42"/>
      <c r="C373" s="42"/>
      <c r="D373" s="21"/>
      <c r="E373" s="21"/>
      <c r="F373" s="32"/>
      <c r="G373" s="32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42"/>
      <c r="C374" s="42"/>
      <c r="D374" s="21"/>
      <c r="E374" s="21"/>
      <c r="F374" s="32"/>
      <c r="G374" s="32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42"/>
      <c r="C375" s="42"/>
      <c r="D375" s="21"/>
      <c r="E375" s="21"/>
      <c r="F375" s="32"/>
      <c r="G375" s="32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42"/>
      <c r="C376" s="42"/>
      <c r="D376" s="21"/>
      <c r="E376" s="21"/>
      <c r="F376" s="32"/>
      <c r="G376" s="32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42"/>
      <c r="C377" s="42"/>
      <c r="D377" s="21"/>
      <c r="E377" s="21"/>
      <c r="F377" s="32"/>
      <c r="G377" s="32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42"/>
      <c r="C378" s="42"/>
      <c r="D378" s="21"/>
      <c r="E378" s="21"/>
      <c r="F378" s="32"/>
      <c r="G378" s="32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42"/>
      <c r="C379" s="42"/>
      <c r="D379" s="21"/>
      <c r="E379" s="21"/>
      <c r="F379" s="32"/>
      <c r="G379" s="32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42"/>
      <c r="C380" s="42"/>
      <c r="D380" s="21"/>
      <c r="E380" s="21"/>
      <c r="F380" s="32"/>
      <c r="G380" s="32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42"/>
      <c r="C381" s="42"/>
      <c r="D381" s="21"/>
      <c r="E381" s="21"/>
      <c r="F381" s="32"/>
      <c r="G381" s="32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42"/>
      <c r="C382" s="42"/>
      <c r="D382" s="21"/>
      <c r="E382" s="21"/>
      <c r="F382" s="32"/>
      <c r="G382" s="32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42"/>
      <c r="C383" s="42"/>
      <c r="D383" s="21"/>
      <c r="E383" s="21"/>
      <c r="F383" s="32"/>
      <c r="G383" s="32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42"/>
      <c r="C384" s="42"/>
      <c r="D384" s="21"/>
      <c r="E384" s="21"/>
      <c r="F384" s="32"/>
      <c r="G384" s="32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42"/>
      <c r="C385" s="42"/>
      <c r="D385" s="21"/>
      <c r="E385" s="21"/>
      <c r="F385" s="32"/>
      <c r="G385" s="32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42"/>
      <c r="C386" s="42"/>
      <c r="D386" s="21"/>
      <c r="E386" s="21"/>
      <c r="F386" s="32"/>
      <c r="G386" s="32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42"/>
      <c r="C387" s="42"/>
      <c r="D387" s="21"/>
      <c r="E387" s="21"/>
      <c r="F387" s="32"/>
      <c r="G387" s="32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42"/>
      <c r="C388" s="42"/>
      <c r="D388" s="21"/>
      <c r="E388" s="21"/>
      <c r="F388" s="32"/>
      <c r="G388" s="32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42"/>
      <c r="C389" s="42"/>
      <c r="D389" s="21"/>
      <c r="E389" s="21"/>
      <c r="F389" s="32"/>
      <c r="G389" s="32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42"/>
      <c r="C390" s="42"/>
      <c r="D390" s="21"/>
      <c r="E390" s="21"/>
      <c r="F390" s="32"/>
      <c r="G390" s="32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42"/>
      <c r="C391" s="42"/>
      <c r="D391" s="21"/>
      <c r="E391" s="21"/>
      <c r="F391" s="32"/>
      <c r="G391" s="32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42"/>
      <c r="C392" s="42"/>
      <c r="D392" s="21"/>
      <c r="E392" s="21"/>
      <c r="F392" s="32"/>
      <c r="G392" s="32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42"/>
      <c r="C393" s="42"/>
      <c r="D393" s="21"/>
      <c r="E393" s="21"/>
      <c r="F393" s="32"/>
      <c r="G393" s="32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42"/>
      <c r="C394" s="42"/>
      <c r="D394" s="21"/>
      <c r="E394" s="21"/>
      <c r="F394" s="32"/>
      <c r="G394" s="32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42"/>
      <c r="C395" s="42"/>
      <c r="D395" s="21"/>
      <c r="E395" s="21"/>
      <c r="F395" s="32"/>
      <c r="G395" s="32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42"/>
      <c r="C396" s="42"/>
      <c r="D396" s="21"/>
      <c r="E396" s="21"/>
      <c r="F396" s="32"/>
      <c r="G396" s="32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42"/>
      <c r="C397" s="42"/>
      <c r="D397" s="21"/>
      <c r="E397" s="21"/>
      <c r="F397" s="32"/>
      <c r="G397" s="32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42"/>
      <c r="C398" s="42"/>
      <c r="D398" s="21"/>
      <c r="E398" s="21"/>
      <c r="F398" s="32"/>
      <c r="G398" s="32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42"/>
      <c r="C399" s="42"/>
      <c r="D399" s="21"/>
      <c r="E399" s="21"/>
      <c r="F399" s="32"/>
      <c r="G399" s="32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42"/>
      <c r="C400" s="42"/>
      <c r="D400" s="21"/>
      <c r="E400" s="21"/>
      <c r="F400" s="32"/>
      <c r="G400" s="32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42"/>
      <c r="C401" s="42"/>
      <c r="D401" s="21"/>
      <c r="E401" s="21"/>
      <c r="F401" s="32"/>
      <c r="G401" s="32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42"/>
      <c r="C402" s="42"/>
      <c r="D402" s="21"/>
      <c r="E402" s="21"/>
      <c r="F402" s="32"/>
      <c r="G402" s="32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42"/>
      <c r="C403" s="42"/>
      <c r="D403" s="21"/>
      <c r="E403" s="21"/>
      <c r="F403" s="32"/>
      <c r="G403" s="32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42"/>
      <c r="C404" s="42"/>
      <c r="D404" s="21"/>
      <c r="E404" s="21"/>
      <c r="F404" s="32"/>
      <c r="G404" s="32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42"/>
      <c r="C405" s="42"/>
      <c r="D405" s="21"/>
      <c r="E405" s="21"/>
      <c r="F405" s="32"/>
      <c r="G405" s="32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42"/>
      <c r="C406" s="42"/>
      <c r="D406" s="21"/>
      <c r="E406" s="21"/>
      <c r="F406" s="32"/>
      <c r="G406" s="32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42"/>
      <c r="C407" s="42"/>
      <c r="D407" s="21"/>
      <c r="E407" s="21"/>
      <c r="F407" s="32"/>
      <c r="G407" s="32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42"/>
      <c r="C408" s="42"/>
      <c r="D408" s="21"/>
      <c r="E408" s="21"/>
      <c r="F408" s="32"/>
      <c r="G408" s="32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42"/>
      <c r="C409" s="42"/>
      <c r="D409" s="21"/>
      <c r="E409" s="21"/>
      <c r="F409" s="32"/>
      <c r="G409" s="32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42"/>
      <c r="C410" s="42"/>
      <c r="D410" s="21"/>
      <c r="E410" s="21"/>
      <c r="F410" s="32"/>
      <c r="G410" s="32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42"/>
      <c r="C411" s="42"/>
      <c r="D411" s="21"/>
      <c r="E411" s="21"/>
      <c r="F411" s="32"/>
      <c r="G411" s="32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42"/>
      <c r="C412" s="42"/>
      <c r="D412" s="21"/>
      <c r="E412" s="21"/>
      <c r="F412" s="32"/>
      <c r="G412" s="32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42"/>
      <c r="C413" s="42"/>
      <c r="D413" s="21"/>
      <c r="E413" s="21"/>
      <c r="F413" s="32"/>
      <c r="G413" s="32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42"/>
      <c r="C414" s="42"/>
      <c r="D414" s="21"/>
      <c r="E414" s="21"/>
      <c r="F414" s="32"/>
      <c r="G414" s="32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42"/>
      <c r="C415" s="42"/>
      <c r="D415" s="21"/>
      <c r="E415" s="21"/>
      <c r="F415" s="32"/>
      <c r="G415" s="32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42"/>
      <c r="C416" s="42"/>
      <c r="D416" s="21"/>
      <c r="E416" s="21"/>
      <c r="F416" s="32"/>
      <c r="G416" s="32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42"/>
      <c r="C417" s="42"/>
      <c r="D417" s="21"/>
      <c r="E417" s="21"/>
      <c r="F417" s="32"/>
      <c r="G417" s="32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42"/>
      <c r="C418" s="42"/>
      <c r="D418" s="21"/>
      <c r="E418" s="21"/>
      <c r="F418" s="32"/>
      <c r="G418" s="32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42"/>
      <c r="C419" s="42"/>
      <c r="D419" s="21"/>
      <c r="E419" s="21"/>
      <c r="F419" s="32"/>
      <c r="G419" s="32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42"/>
      <c r="C420" s="42"/>
      <c r="D420" s="21"/>
      <c r="E420" s="21"/>
      <c r="F420" s="32"/>
      <c r="G420" s="32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42"/>
      <c r="C421" s="42"/>
      <c r="D421" s="21"/>
      <c r="E421" s="21"/>
      <c r="F421" s="32"/>
      <c r="G421" s="32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42"/>
      <c r="C422" s="42"/>
      <c r="D422" s="21"/>
      <c r="E422" s="21"/>
      <c r="F422" s="32"/>
      <c r="G422" s="32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42"/>
      <c r="C423" s="42"/>
      <c r="D423" s="21"/>
      <c r="E423" s="21"/>
      <c r="F423" s="32"/>
      <c r="G423" s="32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42"/>
      <c r="C424" s="42"/>
      <c r="D424" s="21"/>
      <c r="E424" s="21"/>
      <c r="F424" s="32"/>
      <c r="G424" s="32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42"/>
      <c r="C425" s="42"/>
      <c r="D425" s="21"/>
      <c r="E425" s="21"/>
      <c r="F425" s="32"/>
      <c r="G425" s="32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42"/>
      <c r="C426" s="42"/>
      <c r="D426" s="21"/>
      <c r="E426" s="21"/>
      <c r="F426" s="32"/>
      <c r="G426" s="32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42"/>
      <c r="C427" s="42"/>
      <c r="D427" s="21"/>
      <c r="E427" s="21"/>
      <c r="F427" s="32"/>
      <c r="G427" s="32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42"/>
      <c r="C428" s="42"/>
      <c r="D428" s="21"/>
      <c r="E428" s="21"/>
      <c r="F428" s="32"/>
      <c r="G428" s="32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42"/>
      <c r="C429" s="42"/>
      <c r="D429" s="21"/>
      <c r="E429" s="21"/>
      <c r="F429" s="32"/>
      <c r="G429" s="32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42"/>
      <c r="C430" s="42"/>
      <c r="D430" s="21"/>
      <c r="E430" s="21"/>
      <c r="F430" s="32"/>
      <c r="G430" s="32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42"/>
      <c r="C431" s="42"/>
      <c r="D431" s="21"/>
      <c r="E431" s="21"/>
      <c r="F431" s="32"/>
      <c r="G431" s="32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42"/>
      <c r="C432" s="42"/>
      <c r="D432" s="21"/>
      <c r="E432" s="21"/>
      <c r="F432" s="32"/>
      <c r="G432" s="32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42"/>
      <c r="C433" s="42"/>
      <c r="D433" s="21"/>
      <c r="E433" s="21"/>
      <c r="F433" s="32"/>
      <c r="G433" s="32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42"/>
      <c r="C434" s="42"/>
      <c r="D434" s="21"/>
      <c r="E434" s="21"/>
      <c r="F434" s="32"/>
      <c r="G434" s="32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42"/>
      <c r="C435" s="42"/>
      <c r="D435" s="21"/>
      <c r="E435" s="21"/>
      <c r="F435" s="32"/>
      <c r="G435" s="32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42"/>
      <c r="C436" s="42"/>
      <c r="D436" s="21"/>
      <c r="E436" s="21"/>
      <c r="F436" s="32"/>
      <c r="G436" s="32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42"/>
      <c r="C437" s="42"/>
      <c r="D437" s="21"/>
      <c r="E437" s="21"/>
      <c r="F437" s="32"/>
      <c r="G437" s="32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42"/>
      <c r="C438" s="42"/>
      <c r="D438" s="21"/>
      <c r="E438" s="21"/>
      <c r="F438" s="32"/>
      <c r="G438" s="32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42"/>
      <c r="C439" s="42"/>
      <c r="D439" s="21"/>
      <c r="E439" s="21"/>
      <c r="F439" s="32"/>
      <c r="G439" s="32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42"/>
      <c r="C440" s="42"/>
      <c r="D440" s="21"/>
      <c r="E440" s="21"/>
      <c r="F440" s="32"/>
      <c r="G440" s="32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42"/>
      <c r="C441" s="42"/>
      <c r="D441" s="21"/>
      <c r="E441" s="21"/>
      <c r="F441" s="32"/>
      <c r="G441" s="32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42"/>
      <c r="C442" s="42"/>
      <c r="D442" s="21"/>
      <c r="E442" s="21"/>
      <c r="F442" s="32"/>
      <c r="G442" s="32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42"/>
      <c r="C443" s="42"/>
      <c r="D443" s="21"/>
      <c r="E443" s="21"/>
      <c r="F443" s="32"/>
      <c r="G443" s="32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42"/>
      <c r="C444" s="42"/>
      <c r="D444" s="21"/>
      <c r="E444" s="21"/>
      <c r="F444" s="32"/>
      <c r="G444" s="32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42"/>
      <c r="C445" s="42"/>
      <c r="D445" s="21"/>
      <c r="E445" s="21"/>
      <c r="F445" s="32"/>
      <c r="G445" s="32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42"/>
      <c r="C446" s="42"/>
      <c r="D446" s="21"/>
      <c r="E446" s="21"/>
      <c r="F446" s="32"/>
      <c r="G446" s="32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42"/>
      <c r="C447" s="42"/>
      <c r="D447" s="21"/>
      <c r="E447" s="21"/>
      <c r="F447" s="32"/>
      <c r="G447" s="32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42"/>
      <c r="C448" s="42"/>
      <c r="D448" s="21"/>
      <c r="E448" s="21"/>
      <c r="F448" s="32"/>
      <c r="G448" s="32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42"/>
      <c r="C449" s="42"/>
      <c r="D449" s="21"/>
      <c r="E449" s="21"/>
      <c r="F449" s="32"/>
      <c r="G449" s="32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42"/>
      <c r="C450" s="42"/>
      <c r="D450" s="21"/>
      <c r="E450" s="21"/>
      <c r="F450" s="32"/>
      <c r="G450" s="32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42"/>
      <c r="C451" s="42"/>
      <c r="D451" s="21"/>
      <c r="E451" s="21"/>
      <c r="F451" s="32"/>
      <c r="G451" s="32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42"/>
      <c r="C452" s="42"/>
      <c r="D452" s="21"/>
      <c r="E452" s="21"/>
      <c r="F452" s="32"/>
      <c r="G452" s="32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42"/>
      <c r="C453" s="42"/>
      <c r="D453" s="21"/>
      <c r="E453" s="21"/>
      <c r="F453" s="32"/>
      <c r="G453" s="32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42"/>
      <c r="C454" s="42"/>
      <c r="D454" s="21"/>
      <c r="E454" s="21"/>
      <c r="F454" s="32"/>
      <c r="G454" s="32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42"/>
      <c r="C455" s="42"/>
      <c r="D455" s="21"/>
      <c r="E455" s="21"/>
      <c r="F455" s="32"/>
      <c r="G455" s="32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42"/>
      <c r="C456" s="42"/>
      <c r="D456" s="21"/>
      <c r="E456" s="21"/>
      <c r="F456" s="32"/>
      <c r="G456" s="32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42"/>
      <c r="C457" s="42"/>
      <c r="D457" s="21"/>
      <c r="E457" s="21"/>
      <c r="F457" s="32"/>
      <c r="G457" s="32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42"/>
      <c r="C458" s="42"/>
      <c r="D458" s="21"/>
      <c r="E458" s="21"/>
      <c r="F458" s="32"/>
      <c r="G458" s="32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42"/>
      <c r="C459" s="42"/>
      <c r="D459" s="21"/>
      <c r="E459" s="21"/>
      <c r="F459" s="32"/>
      <c r="G459" s="32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42"/>
      <c r="C460" s="42"/>
      <c r="D460" s="21"/>
      <c r="E460" s="21"/>
      <c r="F460" s="32"/>
      <c r="G460" s="32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42"/>
      <c r="C461" s="42"/>
      <c r="D461" s="21"/>
      <c r="E461" s="21"/>
      <c r="F461" s="32"/>
      <c r="G461" s="32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42"/>
      <c r="C462" s="42"/>
      <c r="D462" s="21"/>
      <c r="E462" s="21"/>
      <c r="F462" s="32"/>
      <c r="G462" s="32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42"/>
      <c r="C463" s="42"/>
      <c r="D463" s="21"/>
      <c r="E463" s="21"/>
      <c r="F463" s="32"/>
      <c r="G463" s="32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42"/>
      <c r="C464" s="42"/>
      <c r="D464" s="21"/>
      <c r="E464" s="21"/>
      <c r="F464" s="32"/>
      <c r="G464" s="32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42"/>
      <c r="C465" s="42"/>
      <c r="D465" s="21"/>
      <c r="E465" s="21"/>
      <c r="F465" s="32"/>
      <c r="G465" s="32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42"/>
      <c r="C466" s="42"/>
      <c r="D466" s="21"/>
      <c r="E466" s="21"/>
      <c r="F466" s="32"/>
      <c r="G466" s="32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42"/>
      <c r="C467" s="42"/>
      <c r="D467" s="21"/>
      <c r="E467" s="21"/>
      <c r="F467" s="32"/>
      <c r="G467" s="32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42"/>
      <c r="C468" s="42"/>
      <c r="D468" s="21"/>
      <c r="E468" s="21"/>
      <c r="F468" s="32"/>
      <c r="G468" s="32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42"/>
      <c r="C469" s="42"/>
      <c r="D469" s="21"/>
      <c r="E469" s="21"/>
      <c r="F469" s="32"/>
      <c r="G469" s="32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42"/>
      <c r="C470" s="42"/>
      <c r="D470" s="21"/>
      <c r="E470" s="21"/>
      <c r="F470" s="32"/>
      <c r="G470" s="32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42"/>
      <c r="C471" s="42"/>
      <c r="D471" s="21"/>
      <c r="E471" s="21"/>
      <c r="F471" s="32"/>
      <c r="G471" s="32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42"/>
      <c r="C472" s="42"/>
      <c r="D472" s="21"/>
      <c r="E472" s="21"/>
      <c r="F472" s="32"/>
      <c r="G472" s="32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42"/>
      <c r="C473" s="42"/>
      <c r="D473" s="21"/>
      <c r="E473" s="21"/>
      <c r="F473" s="32"/>
      <c r="G473" s="32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42"/>
      <c r="C474" s="42"/>
      <c r="D474" s="21"/>
      <c r="E474" s="21"/>
      <c r="F474" s="32"/>
      <c r="G474" s="32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42"/>
      <c r="C475" s="42"/>
      <c r="D475" s="21"/>
      <c r="E475" s="21"/>
      <c r="F475" s="32"/>
      <c r="G475" s="32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42"/>
      <c r="C476" s="42"/>
      <c r="D476" s="21"/>
      <c r="E476" s="21"/>
      <c r="F476" s="32"/>
      <c r="G476" s="32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42"/>
      <c r="C477" s="42"/>
      <c r="D477" s="21"/>
      <c r="E477" s="21"/>
      <c r="F477" s="32"/>
      <c r="G477" s="32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42"/>
      <c r="C478" s="42"/>
      <c r="D478" s="21"/>
      <c r="E478" s="21"/>
      <c r="F478" s="32"/>
      <c r="G478" s="32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42"/>
      <c r="C479" s="42"/>
      <c r="D479" s="21"/>
      <c r="E479" s="21"/>
      <c r="F479" s="32"/>
      <c r="G479" s="32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42"/>
      <c r="C480" s="42"/>
      <c r="D480" s="21"/>
      <c r="E480" s="21"/>
      <c r="F480" s="32"/>
      <c r="G480" s="32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42"/>
      <c r="C481" s="42"/>
      <c r="D481" s="21"/>
      <c r="E481" s="21"/>
      <c r="F481" s="32"/>
      <c r="G481" s="32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42"/>
      <c r="C482" s="42"/>
      <c r="D482" s="21"/>
      <c r="E482" s="21"/>
      <c r="F482" s="32"/>
      <c r="G482" s="32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42"/>
      <c r="C483" s="42"/>
      <c r="D483" s="21"/>
      <c r="E483" s="21"/>
      <c r="F483" s="32"/>
      <c r="G483" s="32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42"/>
      <c r="C484" s="42"/>
      <c r="D484" s="21"/>
      <c r="E484" s="21"/>
      <c r="F484" s="32"/>
      <c r="G484" s="32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42"/>
      <c r="C485" s="42"/>
      <c r="D485" s="21"/>
      <c r="E485" s="21"/>
      <c r="F485" s="32"/>
      <c r="G485" s="32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42"/>
      <c r="C486" s="42"/>
      <c r="D486" s="21"/>
      <c r="E486" s="21"/>
      <c r="F486" s="32"/>
      <c r="G486" s="32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42"/>
      <c r="C487" s="42"/>
      <c r="D487" s="21"/>
      <c r="E487" s="21"/>
      <c r="F487" s="32"/>
      <c r="G487" s="32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42"/>
      <c r="C488" s="42"/>
      <c r="D488" s="21"/>
      <c r="E488" s="21"/>
      <c r="F488" s="32"/>
      <c r="G488" s="32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42"/>
      <c r="C489" s="42"/>
      <c r="D489" s="21"/>
      <c r="E489" s="21"/>
      <c r="F489" s="32"/>
      <c r="G489" s="32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42"/>
      <c r="C490" s="42"/>
      <c r="D490" s="21"/>
      <c r="E490" s="21"/>
      <c r="F490" s="32"/>
      <c r="G490" s="32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42"/>
      <c r="C491" s="42"/>
      <c r="D491" s="21"/>
      <c r="E491" s="21"/>
      <c r="F491" s="32"/>
      <c r="G491" s="32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42"/>
      <c r="C492" s="42"/>
      <c r="D492" s="21"/>
      <c r="E492" s="21"/>
      <c r="F492" s="32"/>
      <c r="G492" s="32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42"/>
      <c r="C493" s="42"/>
      <c r="D493" s="21"/>
      <c r="E493" s="21"/>
      <c r="F493" s="32"/>
      <c r="G493" s="32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42"/>
      <c r="C494" s="42"/>
      <c r="D494" s="21"/>
      <c r="E494" s="21"/>
      <c r="F494" s="32"/>
      <c r="G494" s="32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42"/>
      <c r="C495" s="42"/>
      <c r="D495" s="21"/>
      <c r="E495" s="21"/>
      <c r="F495" s="32"/>
      <c r="G495" s="32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42"/>
      <c r="C496" s="42"/>
      <c r="D496" s="21"/>
      <c r="E496" s="21"/>
      <c r="F496" s="32"/>
      <c r="G496" s="32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42"/>
      <c r="C497" s="42"/>
      <c r="D497" s="21"/>
      <c r="E497" s="21"/>
      <c r="F497" s="32"/>
      <c r="G497" s="32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42"/>
      <c r="C498" s="42"/>
      <c r="D498" s="21"/>
      <c r="E498" s="21"/>
      <c r="F498" s="32"/>
      <c r="G498" s="32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42"/>
      <c r="C499" s="42"/>
      <c r="D499" s="21"/>
      <c r="E499" s="21"/>
      <c r="F499" s="32"/>
      <c r="G499" s="32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42"/>
      <c r="C500" s="42"/>
      <c r="D500" s="21"/>
      <c r="E500" s="21"/>
      <c r="F500" s="32"/>
      <c r="G500" s="32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42"/>
      <c r="C501" s="42"/>
      <c r="D501" s="21"/>
      <c r="E501" s="21"/>
      <c r="F501" s="32"/>
      <c r="G501" s="32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42"/>
      <c r="C502" s="42"/>
      <c r="D502" s="21"/>
      <c r="E502" s="21"/>
      <c r="F502" s="32"/>
      <c r="G502" s="32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42"/>
      <c r="C503" s="42"/>
      <c r="D503" s="21"/>
      <c r="E503" s="21"/>
      <c r="F503" s="32"/>
      <c r="G503" s="32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42"/>
      <c r="C504" s="42"/>
      <c r="D504" s="21"/>
      <c r="E504" s="21"/>
      <c r="F504" s="32"/>
      <c r="G504" s="32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42"/>
      <c r="C505" s="42"/>
      <c r="D505" s="21"/>
      <c r="E505" s="21"/>
      <c r="F505" s="32"/>
      <c r="G505" s="32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42"/>
      <c r="C506" s="42"/>
      <c r="D506" s="21"/>
      <c r="E506" s="21"/>
      <c r="F506" s="32"/>
      <c r="G506" s="32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42"/>
      <c r="C507" s="42"/>
      <c r="D507" s="21"/>
      <c r="E507" s="21"/>
      <c r="F507" s="32"/>
      <c r="G507" s="32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42"/>
      <c r="C508" s="42"/>
      <c r="D508" s="21"/>
      <c r="E508" s="21"/>
      <c r="F508" s="32"/>
      <c r="G508" s="32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42"/>
      <c r="C509" s="42"/>
      <c r="D509" s="21"/>
      <c r="E509" s="21"/>
      <c r="F509" s="32"/>
      <c r="G509" s="32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42"/>
      <c r="C510" s="42"/>
      <c r="D510" s="21"/>
      <c r="E510" s="21"/>
      <c r="F510" s="32"/>
      <c r="G510" s="32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42"/>
      <c r="C511" s="42"/>
      <c r="D511" s="21"/>
      <c r="E511" s="21"/>
      <c r="F511" s="32"/>
      <c r="G511" s="32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42"/>
      <c r="C512" s="42"/>
      <c r="D512" s="21"/>
      <c r="E512" s="21"/>
      <c r="F512" s="32"/>
      <c r="G512" s="32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42"/>
      <c r="C513" s="42"/>
      <c r="D513" s="21"/>
      <c r="E513" s="21"/>
      <c r="F513" s="32"/>
      <c r="G513" s="32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42"/>
      <c r="C514" s="42"/>
      <c r="D514" s="21"/>
      <c r="E514" s="21"/>
      <c r="F514" s="32"/>
      <c r="G514" s="32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42"/>
      <c r="C515" s="42"/>
      <c r="D515" s="21"/>
      <c r="E515" s="21"/>
      <c r="F515" s="32"/>
      <c r="G515" s="32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42"/>
      <c r="C516" s="42"/>
      <c r="D516" s="21"/>
      <c r="E516" s="21"/>
      <c r="F516" s="32"/>
      <c r="G516" s="32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42"/>
      <c r="C517" s="42"/>
      <c r="D517" s="21"/>
      <c r="E517" s="21"/>
      <c r="F517" s="32"/>
      <c r="G517" s="32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42"/>
      <c r="C518" s="42"/>
      <c r="D518" s="21"/>
      <c r="E518" s="21"/>
      <c r="F518" s="32"/>
      <c r="G518" s="32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42"/>
      <c r="C519" s="42"/>
      <c r="D519" s="21"/>
      <c r="E519" s="21"/>
      <c r="F519" s="32"/>
      <c r="G519" s="32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42"/>
      <c r="C520" s="42"/>
      <c r="D520" s="21"/>
      <c r="E520" s="21"/>
      <c r="F520" s="32"/>
      <c r="G520" s="32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42"/>
      <c r="C521" s="42"/>
      <c r="D521" s="21"/>
      <c r="E521" s="21"/>
      <c r="F521" s="32"/>
      <c r="G521" s="32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42"/>
      <c r="C522" s="42"/>
      <c r="D522" s="21"/>
      <c r="E522" s="21"/>
      <c r="F522" s="32"/>
      <c r="G522" s="32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42"/>
      <c r="C523" s="42"/>
      <c r="D523" s="21"/>
      <c r="E523" s="21"/>
      <c r="F523" s="32"/>
      <c r="G523" s="32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42"/>
      <c r="C524" s="42"/>
      <c r="D524" s="21"/>
      <c r="E524" s="21"/>
      <c r="F524" s="32"/>
      <c r="G524" s="32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42"/>
      <c r="C525" s="42"/>
      <c r="D525" s="21"/>
      <c r="E525" s="21"/>
      <c r="F525" s="32"/>
      <c r="G525" s="32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42"/>
      <c r="C526" s="42"/>
      <c r="D526" s="21"/>
      <c r="E526" s="21"/>
      <c r="F526" s="32"/>
      <c r="G526" s="32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42"/>
      <c r="C527" s="42"/>
      <c r="D527" s="21"/>
      <c r="E527" s="21"/>
      <c r="F527" s="32"/>
      <c r="G527" s="32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42"/>
      <c r="C528" s="42"/>
      <c r="D528" s="21"/>
      <c r="E528" s="21"/>
      <c r="F528" s="32"/>
      <c r="G528" s="32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42"/>
      <c r="C529" s="42"/>
      <c r="D529" s="21"/>
      <c r="E529" s="21"/>
      <c r="F529" s="32"/>
      <c r="G529" s="32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42"/>
      <c r="C530" s="42"/>
      <c r="D530" s="21"/>
      <c r="E530" s="21"/>
      <c r="F530" s="32"/>
      <c r="G530" s="32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42"/>
      <c r="C531" s="42"/>
      <c r="D531" s="21"/>
      <c r="E531" s="21"/>
      <c r="F531" s="32"/>
      <c r="G531" s="32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42"/>
      <c r="C532" s="42"/>
      <c r="D532" s="21"/>
      <c r="E532" s="21"/>
      <c r="F532" s="32"/>
      <c r="G532" s="32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42"/>
      <c r="C533" s="42"/>
      <c r="D533" s="21"/>
      <c r="E533" s="21"/>
      <c r="F533" s="32"/>
      <c r="G533" s="32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42"/>
      <c r="C534" s="42"/>
      <c r="D534" s="21"/>
      <c r="E534" s="21"/>
      <c r="F534" s="32"/>
      <c r="G534" s="32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42"/>
      <c r="C535" s="42"/>
      <c r="D535" s="21"/>
      <c r="E535" s="21"/>
      <c r="F535" s="32"/>
      <c r="G535" s="32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42"/>
      <c r="C536" s="42"/>
      <c r="D536" s="21"/>
      <c r="E536" s="21"/>
      <c r="F536" s="32"/>
      <c r="G536" s="32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42"/>
      <c r="C537" s="42"/>
      <c r="D537" s="21"/>
      <c r="E537" s="21"/>
      <c r="F537" s="32"/>
      <c r="G537" s="32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42"/>
      <c r="C538" s="42"/>
      <c r="D538" s="21"/>
      <c r="E538" s="21"/>
      <c r="F538" s="32"/>
      <c r="G538" s="32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42"/>
      <c r="C539" s="42"/>
      <c r="D539" s="21"/>
      <c r="E539" s="21"/>
      <c r="F539" s="32"/>
      <c r="G539" s="32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42"/>
      <c r="C540" s="42"/>
      <c r="D540" s="21"/>
      <c r="E540" s="21"/>
      <c r="F540" s="32"/>
      <c r="G540" s="32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42"/>
      <c r="C541" s="42"/>
      <c r="D541" s="21"/>
      <c r="E541" s="21"/>
      <c r="F541" s="32"/>
      <c r="G541" s="32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42"/>
      <c r="C542" s="42"/>
      <c r="D542" s="21"/>
      <c r="E542" s="21"/>
      <c r="F542" s="32"/>
      <c r="G542" s="32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42"/>
      <c r="C543" s="42"/>
      <c r="D543" s="21"/>
      <c r="E543" s="21"/>
      <c r="F543" s="32"/>
      <c r="G543" s="32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42"/>
      <c r="C544" s="42"/>
      <c r="D544" s="21"/>
      <c r="E544" s="21"/>
      <c r="F544" s="32"/>
      <c r="G544" s="32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42"/>
      <c r="C545" s="42"/>
      <c r="D545" s="21"/>
      <c r="E545" s="21"/>
      <c r="F545" s="32"/>
      <c r="G545" s="32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42"/>
      <c r="C546" s="42"/>
      <c r="D546" s="21"/>
      <c r="E546" s="21"/>
      <c r="F546" s="32"/>
      <c r="G546" s="32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42"/>
      <c r="C547" s="42"/>
      <c r="D547" s="21"/>
      <c r="E547" s="21"/>
      <c r="F547" s="32"/>
      <c r="G547" s="32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42"/>
      <c r="C548" s="42"/>
      <c r="D548" s="21"/>
      <c r="E548" s="21"/>
      <c r="F548" s="32"/>
      <c r="G548" s="32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42"/>
      <c r="C549" s="42"/>
      <c r="D549" s="21"/>
      <c r="E549" s="21"/>
      <c r="F549" s="32"/>
      <c r="G549" s="32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42"/>
      <c r="C550" s="42"/>
      <c r="D550" s="21"/>
      <c r="E550" s="21"/>
      <c r="F550" s="32"/>
      <c r="G550" s="32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42"/>
      <c r="C551" s="42"/>
      <c r="D551" s="21"/>
      <c r="E551" s="21"/>
      <c r="F551" s="32"/>
      <c r="G551" s="32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42"/>
      <c r="C552" s="42"/>
      <c r="D552" s="21"/>
      <c r="E552" s="21"/>
      <c r="F552" s="32"/>
      <c r="G552" s="32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42"/>
      <c r="C553" s="42"/>
      <c r="D553" s="21"/>
      <c r="E553" s="21"/>
      <c r="F553" s="32"/>
      <c r="G553" s="32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42"/>
      <c r="C554" s="42"/>
      <c r="D554" s="21"/>
      <c r="E554" s="21"/>
      <c r="F554" s="32"/>
      <c r="G554" s="32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42"/>
      <c r="C555" s="42"/>
      <c r="D555" s="21"/>
      <c r="E555" s="21"/>
      <c r="F555" s="32"/>
      <c r="G555" s="32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42"/>
      <c r="C556" s="42"/>
      <c r="D556" s="21"/>
      <c r="E556" s="21"/>
      <c r="F556" s="32"/>
      <c r="G556" s="32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42"/>
      <c r="C557" s="42"/>
      <c r="D557" s="21"/>
      <c r="E557" s="21"/>
      <c r="F557" s="32"/>
      <c r="G557" s="32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42"/>
      <c r="C558" s="42"/>
      <c r="D558" s="21"/>
      <c r="E558" s="21"/>
      <c r="F558" s="32"/>
      <c r="G558" s="32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42"/>
      <c r="C559" s="42"/>
      <c r="D559" s="21"/>
      <c r="E559" s="21"/>
      <c r="F559" s="32"/>
      <c r="G559" s="32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42"/>
      <c r="C560" s="42"/>
      <c r="D560" s="21"/>
      <c r="E560" s="21"/>
      <c r="F560" s="32"/>
      <c r="G560" s="32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42"/>
      <c r="C561" s="42"/>
      <c r="D561" s="21"/>
      <c r="E561" s="21"/>
      <c r="F561" s="32"/>
      <c r="G561" s="32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42"/>
      <c r="C562" s="42"/>
      <c r="D562" s="21"/>
      <c r="E562" s="21"/>
      <c r="F562" s="32"/>
      <c r="G562" s="32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42"/>
      <c r="C563" s="42"/>
      <c r="D563" s="21"/>
      <c r="E563" s="21"/>
      <c r="F563" s="32"/>
      <c r="G563" s="32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42"/>
      <c r="C564" s="42"/>
      <c r="D564" s="21"/>
      <c r="E564" s="21"/>
      <c r="F564" s="32"/>
      <c r="G564" s="32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42"/>
      <c r="C565" s="42"/>
      <c r="D565" s="21"/>
      <c r="E565" s="21"/>
      <c r="F565" s="32"/>
      <c r="G565" s="32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42"/>
      <c r="C566" s="42"/>
      <c r="D566" s="21"/>
      <c r="E566" s="21"/>
      <c r="F566" s="32"/>
      <c r="G566" s="32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42"/>
      <c r="C567" s="42"/>
      <c r="D567" s="21"/>
      <c r="E567" s="21"/>
      <c r="F567" s="32"/>
      <c r="G567" s="32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42"/>
      <c r="C568" s="42"/>
      <c r="D568" s="21"/>
      <c r="E568" s="21"/>
      <c r="F568" s="32"/>
      <c r="G568" s="32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42"/>
      <c r="C569" s="42"/>
      <c r="D569" s="21"/>
      <c r="E569" s="21"/>
      <c r="F569" s="32"/>
      <c r="G569" s="32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42"/>
      <c r="C570" s="42"/>
      <c r="D570" s="21"/>
      <c r="E570" s="21"/>
      <c r="F570" s="32"/>
      <c r="G570" s="32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42"/>
      <c r="C571" s="42"/>
      <c r="D571" s="21"/>
      <c r="E571" s="21"/>
      <c r="F571" s="32"/>
      <c r="G571" s="32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42"/>
      <c r="C572" s="42"/>
      <c r="D572" s="21"/>
      <c r="E572" s="21"/>
      <c r="F572" s="32"/>
      <c r="G572" s="32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42"/>
      <c r="C573" s="42"/>
      <c r="D573" s="21"/>
      <c r="E573" s="21"/>
      <c r="F573" s="32"/>
      <c r="G573" s="32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42"/>
      <c r="C574" s="42"/>
      <c r="D574" s="21"/>
      <c r="E574" s="21"/>
      <c r="F574" s="32"/>
      <c r="G574" s="32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42"/>
      <c r="C575" s="42"/>
      <c r="D575" s="21"/>
      <c r="E575" s="21"/>
      <c r="F575" s="32"/>
      <c r="G575" s="32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42"/>
      <c r="C576" s="42"/>
      <c r="D576" s="21"/>
      <c r="E576" s="21"/>
      <c r="F576" s="32"/>
      <c r="G576" s="32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42"/>
      <c r="C577" s="42"/>
      <c r="D577" s="21"/>
      <c r="E577" s="21"/>
      <c r="F577" s="32"/>
      <c r="G577" s="32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42"/>
      <c r="C578" s="42"/>
      <c r="D578" s="21"/>
      <c r="E578" s="21"/>
      <c r="F578" s="32"/>
      <c r="G578" s="32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42"/>
      <c r="C579" s="42"/>
      <c r="D579" s="21"/>
      <c r="E579" s="21"/>
      <c r="F579" s="32"/>
      <c r="G579" s="32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42"/>
      <c r="C580" s="42"/>
      <c r="D580" s="21"/>
      <c r="E580" s="21"/>
      <c r="F580" s="32"/>
      <c r="G580" s="32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42"/>
      <c r="C581" s="42"/>
      <c r="D581" s="21"/>
      <c r="E581" s="21"/>
      <c r="F581" s="32"/>
      <c r="G581" s="32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42"/>
      <c r="C582" s="42"/>
      <c r="D582" s="21"/>
      <c r="E582" s="21"/>
      <c r="F582" s="32"/>
      <c r="G582" s="32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42"/>
      <c r="C583" s="42"/>
      <c r="D583" s="21"/>
      <c r="E583" s="21"/>
      <c r="F583" s="32"/>
      <c r="G583" s="32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42"/>
      <c r="C584" s="42"/>
      <c r="D584" s="21"/>
      <c r="E584" s="21"/>
      <c r="F584" s="32"/>
      <c r="G584" s="32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42"/>
      <c r="C585" s="42"/>
      <c r="D585" s="21"/>
      <c r="E585" s="21"/>
      <c r="F585" s="32"/>
      <c r="G585" s="32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42"/>
      <c r="C586" s="42"/>
      <c r="D586" s="21"/>
      <c r="E586" s="21"/>
      <c r="F586" s="32"/>
      <c r="G586" s="32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42"/>
      <c r="C587" s="42"/>
      <c r="D587" s="21"/>
      <c r="E587" s="21"/>
      <c r="F587" s="32"/>
      <c r="G587" s="32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42"/>
      <c r="C588" s="42"/>
      <c r="D588" s="21"/>
      <c r="E588" s="21"/>
      <c r="F588" s="32"/>
      <c r="G588" s="32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42"/>
      <c r="C589" s="42"/>
      <c r="D589" s="21"/>
      <c r="E589" s="21"/>
      <c r="F589" s="32"/>
      <c r="G589" s="32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42"/>
      <c r="C590" s="42"/>
      <c r="D590" s="21"/>
      <c r="E590" s="21"/>
      <c r="F590" s="32"/>
      <c r="G590" s="32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42"/>
      <c r="C591" s="42"/>
      <c r="D591" s="21"/>
      <c r="E591" s="21"/>
      <c r="F591" s="32"/>
      <c r="G591" s="32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42"/>
      <c r="C592" s="42"/>
      <c r="D592" s="21"/>
      <c r="E592" s="21"/>
      <c r="F592" s="32"/>
      <c r="G592" s="32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42"/>
      <c r="C593" s="42"/>
      <c r="D593" s="21"/>
      <c r="E593" s="21"/>
      <c r="F593" s="32"/>
      <c r="G593" s="32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42"/>
      <c r="C594" s="42"/>
      <c r="D594" s="21"/>
      <c r="E594" s="21"/>
      <c r="F594" s="32"/>
      <c r="G594" s="32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42"/>
      <c r="C595" s="42"/>
      <c r="D595" s="21"/>
      <c r="E595" s="21"/>
      <c r="F595" s="32"/>
      <c r="G595" s="32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42"/>
      <c r="C596" s="42"/>
      <c r="D596" s="21"/>
      <c r="E596" s="21"/>
      <c r="F596" s="32"/>
      <c r="G596" s="32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42"/>
      <c r="C597" s="42"/>
      <c r="D597" s="21"/>
      <c r="E597" s="21"/>
      <c r="F597" s="32"/>
      <c r="G597" s="32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42"/>
      <c r="C598" s="42"/>
      <c r="D598" s="21"/>
      <c r="E598" s="21"/>
      <c r="F598" s="32"/>
      <c r="G598" s="32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42"/>
      <c r="C599" s="42"/>
      <c r="D599" s="21"/>
      <c r="E599" s="21"/>
      <c r="F599" s="32"/>
      <c r="G599" s="32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42"/>
      <c r="C600" s="42"/>
      <c r="D600" s="21"/>
      <c r="E600" s="21"/>
      <c r="F600" s="32"/>
      <c r="G600" s="32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42"/>
      <c r="C601" s="42"/>
      <c r="D601" s="21"/>
      <c r="E601" s="21"/>
      <c r="F601" s="32"/>
      <c r="G601" s="32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42"/>
      <c r="C602" s="42"/>
      <c r="D602" s="21"/>
      <c r="E602" s="21"/>
      <c r="F602" s="32"/>
      <c r="G602" s="32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42"/>
      <c r="C603" s="42"/>
      <c r="D603" s="21"/>
      <c r="E603" s="21"/>
      <c r="F603" s="32"/>
      <c r="G603" s="32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42"/>
      <c r="C604" s="42"/>
      <c r="D604" s="21"/>
      <c r="E604" s="21"/>
      <c r="F604" s="32"/>
      <c r="G604" s="32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42"/>
      <c r="C605" s="42"/>
      <c r="D605" s="21"/>
      <c r="E605" s="21"/>
      <c r="F605" s="32"/>
      <c r="G605" s="32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42"/>
      <c r="C606" s="42"/>
      <c r="D606" s="21"/>
      <c r="E606" s="21"/>
      <c r="F606" s="32"/>
      <c r="G606" s="32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42"/>
      <c r="C607" s="42"/>
      <c r="D607" s="21"/>
      <c r="E607" s="21"/>
      <c r="F607" s="32"/>
      <c r="G607" s="32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42"/>
      <c r="C608" s="42"/>
      <c r="D608" s="21"/>
      <c r="E608" s="21"/>
      <c r="F608" s="32"/>
      <c r="G608" s="32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42"/>
      <c r="C609" s="42"/>
      <c r="D609" s="21"/>
      <c r="E609" s="21"/>
      <c r="F609" s="32"/>
      <c r="G609" s="32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42"/>
      <c r="C610" s="42"/>
      <c r="D610" s="21"/>
      <c r="E610" s="21"/>
      <c r="F610" s="32"/>
      <c r="G610" s="32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42"/>
      <c r="C611" s="42"/>
      <c r="D611" s="21"/>
      <c r="E611" s="21"/>
      <c r="F611" s="32"/>
      <c r="G611" s="32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42"/>
      <c r="C612" s="42"/>
      <c r="D612" s="21"/>
      <c r="E612" s="21"/>
      <c r="F612" s="32"/>
      <c r="G612" s="32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42"/>
      <c r="C613" s="42"/>
      <c r="D613" s="21"/>
      <c r="E613" s="21"/>
      <c r="F613" s="32"/>
      <c r="G613" s="32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42"/>
      <c r="C614" s="42"/>
      <c r="D614" s="21"/>
      <c r="E614" s="21"/>
      <c r="F614" s="32"/>
      <c r="G614" s="32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42"/>
      <c r="C615" s="42"/>
      <c r="D615" s="21"/>
      <c r="E615" s="21"/>
      <c r="F615" s="32"/>
      <c r="G615" s="32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42"/>
      <c r="C616" s="42"/>
      <c r="D616" s="21"/>
      <c r="E616" s="21"/>
      <c r="F616" s="32"/>
      <c r="G616" s="32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42"/>
      <c r="C617" s="42"/>
      <c r="D617" s="21"/>
      <c r="E617" s="21"/>
      <c r="F617" s="32"/>
      <c r="G617" s="32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42"/>
      <c r="C618" s="42"/>
      <c r="D618" s="21"/>
      <c r="E618" s="21"/>
      <c r="F618" s="32"/>
      <c r="G618" s="32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42"/>
      <c r="C619" s="42"/>
      <c r="D619" s="21"/>
      <c r="E619" s="21"/>
      <c r="F619" s="32"/>
      <c r="G619" s="32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42"/>
      <c r="C620" s="42"/>
      <c r="D620" s="21"/>
      <c r="E620" s="21"/>
      <c r="F620" s="32"/>
      <c r="G620" s="32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42"/>
      <c r="C621" s="42"/>
      <c r="D621" s="21"/>
      <c r="E621" s="21"/>
      <c r="F621" s="32"/>
      <c r="G621" s="32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42"/>
      <c r="C622" s="42"/>
      <c r="D622" s="21"/>
      <c r="E622" s="21"/>
      <c r="F622" s="32"/>
      <c r="G622" s="32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42"/>
      <c r="C623" s="42"/>
      <c r="D623" s="21"/>
      <c r="E623" s="21"/>
      <c r="F623" s="32"/>
      <c r="G623" s="32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42"/>
      <c r="C624" s="42"/>
      <c r="D624" s="21"/>
      <c r="E624" s="21"/>
      <c r="F624" s="32"/>
      <c r="G624" s="32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42"/>
      <c r="C625" s="42"/>
      <c r="D625" s="21"/>
      <c r="E625" s="21"/>
      <c r="F625" s="32"/>
      <c r="G625" s="32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42"/>
      <c r="C626" s="42"/>
      <c r="D626" s="21"/>
      <c r="E626" s="21"/>
      <c r="F626" s="32"/>
      <c r="G626" s="32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42"/>
      <c r="C627" s="42"/>
      <c r="D627" s="21"/>
      <c r="E627" s="21"/>
      <c r="F627" s="32"/>
      <c r="G627" s="32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42"/>
      <c r="C628" s="42"/>
      <c r="D628" s="21"/>
      <c r="E628" s="21"/>
      <c r="F628" s="32"/>
      <c r="G628" s="32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42"/>
      <c r="C629" s="42"/>
      <c r="D629" s="21"/>
      <c r="E629" s="21"/>
      <c r="F629" s="32"/>
      <c r="G629" s="32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42"/>
      <c r="C630" s="42"/>
      <c r="D630" s="21"/>
      <c r="E630" s="21"/>
      <c r="F630" s="32"/>
      <c r="G630" s="32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42"/>
      <c r="C631" s="42"/>
      <c r="D631" s="21"/>
      <c r="E631" s="21"/>
      <c r="F631" s="32"/>
      <c r="G631" s="32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42"/>
      <c r="C632" s="42"/>
      <c r="D632" s="21"/>
      <c r="E632" s="21"/>
      <c r="F632" s="32"/>
      <c r="G632" s="32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42"/>
      <c r="C633" s="42"/>
      <c r="D633" s="21"/>
      <c r="E633" s="21"/>
      <c r="F633" s="32"/>
      <c r="G633" s="32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42"/>
      <c r="C634" s="42"/>
      <c r="D634" s="21"/>
      <c r="E634" s="21"/>
      <c r="F634" s="32"/>
      <c r="G634" s="32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42"/>
      <c r="C635" s="42"/>
      <c r="D635" s="21"/>
      <c r="E635" s="21"/>
      <c r="F635" s="32"/>
      <c r="G635" s="32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42"/>
      <c r="C636" s="42"/>
      <c r="D636" s="21"/>
      <c r="E636" s="21"/>
      <c r="F636" s="32"/>
      <c r="G636" s="32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42"/>
      <c r="C637" s="42"/>
      <c r="D637" s="21"/>
      <c r="E637" s="21"/>
      <c r="F637" s="32"/>
      <c r="G637" s="32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42"/>
      <c r="C638" s="42"/>
      <c r="D638" s="21"/>
      <c r="E638" s="21"/>
      <c r="F638" s="32"/>
      <c r="G638" s="32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42"/>
      <c r="C639" s="42"/>
      <c r="D639" s="21"/>
      <c r="E639" s="21"/>
      <c r="F639" s="32"/>
      <c r="G639" s="32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42"/>
      <c r="C640" s="42"/>
      <c r="D640" s="21"/>
      <c r="E640" s="21"/>
      <c r="F640" s="32"/>
      <c r="G640" s="32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42"/>
      <c r="C641" s="42"/>
      <c r="D641" s="21"/>
      <c r="E641" s="21"/>
      <c r="F641" s="32"/>
      <c r="G641" s="32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42"/>
      <c r="C642" s="42"/>
      <c r="D642" s="21"/>
      <c r="E642" s="21"/>
      <c r="F642" s="32"/>
      <c r="G642" s="32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42"/>
      <c r="C643" s="42"/>
      <c r="D643" s="21"/>
      <c r="E643" s="21"/>
      <c r="F643" s="32"/>
      <c r="G643" s="32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42"/>
      <c r="C644" s="42"/>
      <c r="D644" s="21"/>
      <c r="E644" s="21"/>
      <c r="F644" s="32"/>
      <c r="G644" s="32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42"/>
      <c r="C645" s="42"/>
      <c r="D645" s="21"/>
      <c r="E645" s="21"/>
      <c r="F645" s="32"/>
      <c r="G645" s="32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42"/>
      <c r="C646" s="42"/>
      <c r="D646" s="21"/>
      <c r="E646" s="21"/>
      <c r="F646" s="32"/>
      <c r="G646" s="32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42"/>
      <c r="C647" s="42"/>
      <c r="D647" s="21"/>
      <c r="E647" s="21"/>
      <c r="F647" s="32"/>
      <c r="G647" s="32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42"/>
      <c r="C648" s="42"/>
      <c r="D648" s="21"/>
      <c r="E648" s="21"/>
      <c r="F648" s="32"/>
      <c r="G648" s="32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42"/>
      <c r="C649" s="42"/>
      <c r="D649" s="21"/>
      <c r="E649" s="21"/>
      <c r="F649" s="32"/>
      <c r="G649" s="32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42"/>
      <c r="C650" s="42"/>
      <c r="D650" s="21"/>
      <c r="E650" s="21"/>
      <c r="F650" s="32"/>
      <c r="G650" s="32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42"/>
      <c r="C651" s="42"/>
      <c r="D651" s="21"/>
      <c r="E651" s="21"/>
      <c r="F651" s="32"/>
      <c r="G651" s="32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42"/>
      <c r="C652" s="42"/>
      <c r="D652" s="21"/>
      <c r="E652" s="21"/>
      <c r="F652" s="32"/>
      <c r="G652" s="32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42"/>
      <c r="C653" s="42"/>
      <c r="D653" s="21"/>
      <c r="E653" s="21"/>
      <c r="F653" s="32"/>
      <c r="G653" s="32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42"/>
      <c r="C654" s="42"/>
      <c r="D654" s="21"/>
      <c r="E654" s="21"/>
      <c r="F654" s="32"/>
      <c r="G654" s="32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42"/>
      <c r="C655" s="42"/>
      <c r="D655" s="21"/>
      <c r="E655" s="21"/>
      <c r="F655" s="32"/>
      <c r="G655" s="32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42"/>
      <c r="C656" s="42"/>
      <c r="D656" s="21"/>
      <c r="E656" s="21"/>
      <c r="F656" s="32"/>
      <c r="G656" s="32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42"/>
      <c r="C657" s="42"/>
      <c r="D657" s="21"/>
      <c r="E657" s="21"/>
      <c r="F657" s="32"/>
      <c r="G657" s="32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42"/>
      <c r="C658" s="42"/>
      <c r="D658" s="21"/>
      <c r="E658" s="21"/>
      <c r="F658" s="32"/>
      <c r="G658" s="32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42"/>
      <c r="C659" s="42"/>
      <c r="D659" s="21"/>
      <c r="E659" s="21"/>
      <c r="F659" s="32"/>
      <c r="G659" s="32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42"/>
      <c r="C660" s="42"/>
      <c r="D660" s="21"/>
      <c r="E660" s="21"/>
      <c r="F660" s="32"/>
      <c r="G660" s="32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42"/>
      <c r="C661" s="42"/>
      <c r="D661" s="21"/>
      <c r="E661" s="21"/>
      <c r="F661" s="32"/>
      <c r="G661" s="32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42"/>
      <c r="C662" s="42"/>
      <c r="D662" s="21"/>
      <c r="E662" s="21"/>
      <c r="F662" s="32"/>
      <c r="G662" s="32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42"/>
      <c r="C663" s="42"/>
      <c r="D663" s="21"/>
      <c r="E663" s="21"/>
      <c r="F663" s="32"/>
      <c r="G663" s="32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42"/>
      <c r="C664" s="42"/>
      <c r="D664" s="21"/>
      <c r="E664" s="21"/>
      <c r="F664" s="32"/>
      <c r="G664" s="32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42"/>
      <c r="C665" s="42"/>
      <c r="D665" s="21"/>
      <c r="E665" s="21"/>
      <c r="F665" s="32"/>
      <c r="G665" s="32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42"/>
      <c r="C666" s="42"/>
      <c r="D666" s="21"/>
      <c r="E666" s="21"/>
      <c r="F666" s="32"/>
      <c r="G666" s="32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42"/>
      <c r="C667" s="42"/>
      <c r="D667" s="21"/>
      <c r="E667" s="21"/>
      <c r="F667" s="32"/>
      <c r="G667" s="32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42"/>
      <c r="C668" s="42"/>
      <c r="D668" s="21"/>
      <c r="E668" s="21"/>
      <c r="F668" s="32"/>
      <c r="G668" s="32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42"/>
      <c r="C669" s="42"/>
      <c r="D669" s="21"/>
      <c r="E669" s="21"/>
      <c r="F669" s="32"/>
      <c r="G669" s="32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42"/>
      <c r="C670" s="42"/>
      <c r="D670" s="21"/>
      <c r="E670" s="21"/>
      <c r="F670" s="32"/>
      <c r="G670" s="32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42"/>
      <c r="C671" s="42"/>
      <c r="D671" s="21"/>
      <c r="E671" s="21"/>
      <c r="F671" s="32"/>
      <c r="G671" s="32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42"/>
      <c r="C672" s="42"/>
      <c r="D672" s="21"/>
      <c r="E672" s="21"/>
      <c r="F672" s="32"/>
      <c r="G672" s="32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42"/>
      <c r="C673" s="42"/>
      <c r="D673" s="21"/>
      <c r="E673" s="21"/>
      <c r="F673" s="32"/>
      <c r="G673" s="32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42"/>
      <c r="C674" s="42"/>
      <c r="D674" s="21"/>
      <c r="E674" s="21"/>
      <c r="F674" s="32"/>
      <c r="G674" s="32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42"/>
      <c r="C675" s="42"/>
      <c r="D675" s="21"/>
      <c r="E675" s="21"/>
      <c r="F675" s="32"/>
      <c r="G675" s="32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42"/>
      <c r="C676" s="42"/>
      <c r="D676" s="21"/>
      <c r="E676" s="21"/>
      <c r="F676" s="32"/>
      <c r="G676" s="32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42"/>
      <c r="C677" s="42"/>
      <c r="D677" s="21"/>
      <c r="E677" s="21"/>
      <c r="F677" s="32"/>
      <c r="G677" s="32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42"/>
      <c r="C678" s="42"/>
      <c r="D678" s="21"/>
      <c r="E678" s="21"/>
      <c r="F678" s="32"/>
      <c r="G678" s="32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42"/>
      <c r="C679" s="42"/>
      <c r="D679" s="21"/>
      <c r="E679" s="21"/>
      <c r="F679" s="32"/>
      <c r="G679" s="32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42"/>
      <c r="C680" s="42"/>
      <c r="D680" s="21"/>
      <c r="E680" s="21"/>
      <c r="F680" s="32"/>
      <c r="G680" s="32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42"/>
      <c r="C681" s="42"/>
      <c r="D681" s="21"/>
      <c r="E681" s="21"/>
      <c r="F681" s="32"/>
      <c r="G681" s="32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42"/>
      <c r="C682" s="42"/>
      <c r="D682" s="21"/>
      <c r="E682" s="21"/>
      <c r="F682" s="32"/>
      <c r="G682" s="32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42"/>
      <c r="C683" s="42"/>
      <c r="D683" s="21"/>
      <c r="E683" s="21"/>
      <c r="F683" s="32"/>
      <c r="G683" s="32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42"/>
      <c r="C684" s="42"/>
      <c r="D684" s="21"/>
      <c r="E684" s="21"/>
      <c r="F684" s="32"/>
      <c r="G684" s="32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42"/>
      <c r="C685" s="42"/>
      <c r="D685" s="21"/>
      <c r="E685" s="21"/>
      <c r="F685" s="32"/>
      <c r="G685" s="32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42"/>
      <c r="C686" s="42"/>
      <c r="D686" s="21"/>
      <c r="E686" s="21"/>
      <c r="F686" s="32"/>
      <c r="G686" s="32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42"/>
      <c r="C687" s="42"/>
      <c r="D687" s="21"/>
      <c r="E687" s="21"/>
      <c r="F687" s="32"/>
      <c r="G687" s="32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42"/>
      <c r="C688" s="42"/>
      <c r="D688" s="21"/>
      <c r="E688" s="21"/>
      <c r="F688" s="32"/>
      <c r="G688" s="32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42"/>
      <c r="C689" s="42"/>
      <c r="D689" s="21"/>
      <c r="E689" s="21"/>
      <c r="F689" s="32"/>
      <c r="G689" s="32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42"/>
      <c r="C690" s="42"/>
      <c r="D690" s="21"/>
      <c r="E690" s="21"/>
      <c r="F690" s="32"/>
      <c r="G690" s="32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42"/>
      <c r="C691" s="42"/>
      <c r="D691" s="21"/>
      <c r="E691" s="21"/>
      <c r="F691" s="32"/>
      <c r="G691" s="32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42"/>
      <c r="C692" s="42"/>
      <c r="D692" s="21"/>
      <c r="E692" s="21"/>
      <c r="F692" s="32"/>
      <c r="G692" s="32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42"/>
      <c r="C693" s="42"/>
      <c r="D693" s="21"/>
      <c r="E693" s="21"/>
      <c r="F693" s="32"/>
      <c r="G693" s="32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42"/>
      <c r="C694" s="42"/>
      <c r="D694" s="21"/>
      <c r="E694" s="21"/>
      <c r="F694" s="32"/>
      <c r="G694" s="32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42"/>
      <c r="C695" s="42"/>
      <c r="D695" s="21"/>
      <c r="E695" s="21"/>
      <c r="F695" s="32"/>
      <c r="G695" s="32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42"/>
      <c r="C696" s="42"/>
      <c r="D696" s="21"/>
      <c r="E696" s="21"/>
      <c r="F696" s="32"/>
      <c r="G696" s="32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42"/>
      <c r="C697" s="42"/>
      <c r="D697" s="21"/>
      <c r="E697" s="21"/>
      <c r="F697" s="32"/>
      <c r="G697" s="32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42"/>
      <c r="C698" s="42"/>
      <c r="D698" s="21"/>
      <c r="E698" s="21"/>
      <c r="F698" s="32"/>
      <c r="G698" s="32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42"/>
      <c r="C699" s="42"/>
      <c r="D699" s="21"/>
      <c r="E699" s="21"/>
      <c r="F699" s="32"/>
      <c r="G699" s="32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42"/>
      <c r="C700" s="42"/>
      <c r="D700" s="21"/>
      <c r="E700" s="21"/>
      <c r="F700" s="32"/>
      <c r="G700" s="32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42"/>
      <c r="C701" s="42"/>
      <c r="D701" s="21"/>
      <c r="E701" s="21"/>
      <c r="F701" s="32"/>
      <c r="G701" s="32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42"/>
      <c r="C702" s="42"/>
      <c r="D702" s="21"/>
      <c r="E702" s="21"/>
      <c r="F702" s="32"/>
      <c r="G702" s="32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42"/>
      <c r="C703" s="42"/>
      <c r="D703" s="21"/>
      <c r="E703" s="21"/>
      <c r="F703" s="32"/>
      <c r="G703" s="32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42"/>
      <c r="C704" s="42"/>
      <c r="D704" s="21"/>
      <c r="E704" s="21"/>
      <c r="F704" s="32"/>
      <c r="G704" s="32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42"/>
      <c r="C705" s="42"/>
      <c r="D705" s="21"/>
      <c r="E705" s="21"/>
      <c r="F705" s="32"/>
      <c r="G705" s="32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42"/>
      <c r="C706" s="42"/>
      <c r="D706" s="21"/>
      <c r="E706" s="21"/>
      <c r="F706" s="32"/>
      <c r="G706" s="32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42"/>
      <c r="C707" s="42"/>
      <c r="D707" s="21"/>
      <c r="E707" s="21"/>
      <c r="F707" s="32"/>
      <c r="G707" s="32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42"/>
      <c r="C708" s="42"/>
      <c r="D708" s="21"/>
      <c r="E708" s="21"/>
      <c r="F708" s="32"/>
      <c r="G708" s="32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42"/>
      <c r="C709" s="42"/>
      <c r="D709" s="21"/>
      <c r="E709" s="21"/>
      <c r="F709" s="32"/>
      <c r="G709" s="32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42"/>
      <c r="C710" s="42"/>
      <c r="D710" s="21"/>
      <c r="E710" s="21"/>
      <c r="F710" s="32"/>
      <c r="G710" s="32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42"/>
      <c r="C711" s="42"/>
      <c r="D711" s="21"/>
      <c r="E711" s="21"/>
      <c r="F711" s="32"/>
      <c r="G711" s="32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42"/>
      <c r="C712" s="42"/>
      <c r="D712" s="21"/>
      <c r="E712" s="21"/>
      <c r="F712" s="32"/>
      <c r="G712" s="32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42"/>
      <c r="C713" s="42"/>
      <c r="D713" s="21"/>
      <c r="E713" s="21"/>
      <c r="F713" s="32"/>
      <c r="G713" s="32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42"/>
      <c r="C714" s="42"/>
      <c r="D714" s="21"/>
      <c r="E714" s="21"/>
      <c r="F714" s="32"/>
      <c r="G714" s="32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42"/>
      <c r="C715" s="42"/>
      <c r="D715" s="21"/>
      <c r="E715" s="21"/>
      <c r="F715" s="32"/>
      <c r="G715" s="32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42"/>
      <c r="C716" s="42"/>
      <c r="D716" s="21"/>
      <c r="E716" s="21"/>
      <c r="F716" s="32"/>
      <c r="G716" s="32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42"/>
      <c r="C717" s="42"/>
      <c r="D717" s="21"/>
      <c r="E717" s="21"/>
      <c r="F717" s="32"/>
      <c r="G717" s="32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42"/>
      <c r="C718" s="42"/>
      <c r="D718" s="21"/>
      <c r="E718" s="21"/>
      <c r="F718" s="32"/>
      <c r="G718" s="32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42"/>
      <c r="C719" s="42"/>
      <c r="D719" s="21"/>
      <c r="E719" s="21"/>
      <c r="F719" s="32"/>
      <c r="G719" s="32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42"/>
      <c r="C720" s="42"/>
      <c r="D720" s="21"/>
      <c r="E720" s="21"/>
      <c r="F720" s="32"/>
      <c r="G720" s="32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42"/>
      <c r="C721" s="42"/>
      <c r="D721" s="21"/>
      <c r="E721" s="21"/>
      <c r="F721" s="32"/>
      <c r="G721" s="32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42"/>
      <c r="C722" s="42"/>
      <c r="D722" s="21"/>
      <c r="E722" s="21"/>
      <c r="F722" s="32"/>
      <c r="G722" s="32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42"/>
      <c r="C723" s="42"/>
      <c r="D723" s="21"/>
      <c r="E723" s="21"/>
      <c r="F723" s="32"/>
      <c r="G723" s="32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42"/>
      <c r="C724" s="42"/>
      <c r="D724" s="21"/>
      <c r="E724" s="21"/>
      <c r="F724" s="32"/>
      <c r="G724" s="32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42"/>
      <c r="C725" s="42"/>
      <c r="D725" s="21"/>
      <c r="E725" s="21"/>
      <c r="F725" s="32"/>
      <c r="G725" s="32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42"/>
      <c r="C726" s="42"/>
      <c r="D726" s="21"/>
      <c r="E726" s="21"/>
      <c r="F726" s="32"/>
      <c r="G726" s="32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42"/>
      <c r="C727" s="42"/>
      <c r="D727" s="21"/>
      <c r="E727" s="21"/>
      <c r="F727" s="32"/>
      <c r="G727" s="32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42"/>
      <c r="C728" s="42"/>
      <c r="D728" s="21"/>
      <c r="E728" s="21"/>
      <c r="F728" s="32"/>
      <c r="G728" s="32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42"/>
      <c r="C729" s="42"/>
      <c r="D729" s="21"/>
      <c r="E729" s="21"/>
      <c r="F729" s="32"/>
      <c r="G729" s="32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42"/>
      <c r="C730" s="42"/>
      <c r="D730" s="21"/>
      <c r="E730" s="21"/>
      <c r="F730" s="32"/>
      <c r="G730" s="32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42"/>
      <c r="C731" s="42"/>
      <c r="D731" s="21"/>
      <c r="E731" s="21"/>
      <c r="F731" s="32"/>
      <c r="G731" s="32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42"/>
      <c r="C732" s="42"/>
      <c r="D732" s="21"/>
      <c r="E732" s="21"/>
      <c r="F732" s="32"/>
      <c r="G732" s="32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42"/>
      <c r="C733" s="42"/>
      <c r="D733" s="21"/>
      <c r="E733" s="21"/>
      <c r="F733" s="32"/>
      <c r="G733" s="32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42"/>
      <c r="C734" s="42"/>
      <c r="D734" s="21"/>
      <c r="E734" s="21"/>
      <c r="F734" s="32"/>
      <c r="G734" s="32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42"/>
      <c r="C735" s="42"/>
      <c r="D735" s="21"/>
      <c r="E735" s="21"/>
      <c r="F735" s="32"/>
      <c r="G735" s="32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42"/>
      <c r="C736" s="42"/>
      <c r="D736" s="21"/>
      <c r="E736" s="21"/>
      <c r="F736" s="32"/>
      <c r="G736" s="32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42"/>
      <c r="C737" s="42"/>
      <c r="D737" s="21"/>
      <c r="E737" s="21"/>
      <c r="F737" s="32"/>
      <c r="G737" s="32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42"/>
      <c r="C738" s="42"/>
      <c r="D738" s="21"/>
      <c r="E738" s="21"/>
      <c r="F738" s="32"/>
      <c r="G738" s="32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42"/>
      <c r="C739" s="42"/>
      <c r="D739" s="21"/>
      <c r="E739" s="21"/>
      <c r="F739" s="32"/>
      <c r="G739" s="32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42"/>
      <c r="C740" s="42"/>
      <c r="D740" s="21"/>
      <c r="E740" s="21"/>
      <c r="F740" s="32"/>
      <c r="G740" s="32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42"/>
      <c r="C741" s="42"/>
      <c r="D741" s="21"/>
      <c r="E741" s="21"/>
      <c r="F741" s="32"/>
      <c r="G741" s="32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42"/>
      <c r="C742" s="42"/>
      <c r="D742" s="21"/>
      <c r="E742" s="21"/>
      <c r="F742" s="32"/>
      <c r="G742" s="32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42"/>
      <c r="C743" s="42"/>
      <c r="D743" s="21"/>
      <c r="E743" s="21"/>
      <c r="F743" s="32"/>
      <c r="G743" s="32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42"/>
      <c r="C744" s="42"/>
      <c r="D744" s="21"/>
      <c r="E744" s="21"/>
      <c r="F744" s="32"/>
      <c r="G744" s="32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42"/>
      <c r="C745" s="42"/>
      <c r="D745" s="21"/>
      <c r="E745" s="21"/>
      <c r="F745" s="32"/>
      <c r="G745" s="32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42"/>
      <c r="C746" s="42"/>
      <c r="D746" s="21"/>
      <c r="E746" s="21"/>
      <c r="F746" s="32"/>
      <c r="G746" s="32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42"/>
      <c r="C747" s="42"/>
      <c r="D747" s="21"/>
      <c r="E747" s="21"/>
      <c r="F747" s="32"/>
      <c r="G747" s="32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42"/>
      <c r="C748" s="42"/>
      <c r="D748" s="21"/>
      <c r="E748" s="21"/>
      <c r="F748" s="32"/>
      <c r="G748" s="32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42"/>
      <c r="C749" s="42"/>
      <c r="D749" s="21"/>
      <c r="E749" s="21"/>
      <c r="F749" s="32"/>
      <c r="G749" s="32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42"/>
      <c r="C750" s="42"/>
      <c r="D750" s="21"/>
      <c r="E750" s="21"/>
      <c r="F750" s="32"/>
      <c r="G750" s="32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42"/>
      <c r="C751" s="42"/>
      <c r="D751" s="21"/>
      <c r="E751" s="21"/>
      <c r="F751" s="32"/>
      <c r="G751" s="32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42"/>
      <c r="C752" s="42"/>
      <c r="D752" s="21"/>
      <c r="E752" s="21"/>
      <c r="F752" s="32"/>
      <c r="G752" s="32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42"/>
      <c r="C753" s="42"/>
      <c r="D753" s="21"/>
      <c r="E753" s="21"/>
      <c r="F753" s="32"/>
      <c r="G753" s="32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42"/>
      <c r="C754" s="42"/>
      <c r="D754" s="21"/>
      <c r="E754" s="21"/>
      <c r="F754" s="32"/>
      <c r="G754" s="32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42"/>
      <c r="C755" s="42"/>
      <c r="D755" s="21"/>
      <c r="E755" s="21"/>
      <c r="F755" s="32"/>
      <c r="G755" s="32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42"/>
      <c r="C756" s="42"/>
      <c r="D756" s="21"/>
      <c r="E756" s="21"/>
      <c r="F756" s="32"/>
      <c r="G756" s="32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42"/>
      <c r="C757" s="42"/>
      <c r="D757" s="21"/>
      <c r="E757" s="21"/>
      <c r="F757" s="32"/>
      <c r="G757" s="32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42"/>
      <c r="C758" s="42"/>
      <c r="D758" s="21"/>
      <c r="E758" s="21"/>
      <c r="F758" s="32"/>
      <c r="G758" s="32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42"/>
      <c r="C759" s="42"/>
      <c r="D759" s="21"/>
      <c r="E759" s="21"/>
      <c r="F759" s="32"/>
      <c r="G759" s="32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42"/>
      <c r="C760" s="42"/>
      <c r="D760" s="21"/>
      <c r="E760" s="21"/>
      <c r="F760" s="32"/>
      <c r="G760" s="32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42"/>
      <c r="C761" s="42"/>
      <c r="D761" s="21"/>
      <c r="E761" s="21"/>
      <c r="F761" s="32"/>
      <c r="G761" s="32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42"/>
      <c r="C762" s="42"/>
      <c r="D762" s="21"/>
      <c r="E762" s="21"/>
      <c r="F762" s="32"/>
      <c r="G762" s="32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42"/>
      <c r="C763" s="42"/>
      <c r="D763" s="21"/>
      <c r="E763" s="21"/>
      <c r="F763" s="32"/>
      <c r="G763" s="32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42"/>
      <c r="C764" s="42"/>
      <c r="D764" s="21"/>
      <c r="E764" s="21"/>
      <c r="F764" s="32"/>
      <c r="G764" s="32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42"/>
      <c r="C765" s="42"/>
      <c r="D765" s="21"/>
      <c r="E765" s="21"/>
      <c r="F765" s="32"/>
      <c r="G765" s="32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42"/>
      <c r="C766" s="42"/>
      <c r="D766" s="21"/>
      <c r="E766" s="21"/>
      <c r="F766" s="32"/>
      <c r="G766" s="32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42"/>
      <c r="C767" s="42"/>
      <c r="D767" s="21"/>
      <c r="E767" s="21"/>
      <c r="F767" s="32"/>
      <c r="G767" s="32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42"/>
      <c r="C768" s="42"/>
      <c r="D768" s="21"/>
      <c r="E768" s="21"/>
      <c r="F768" s="32"/>
      <c r="G768" s="32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42"/>
      <c r="C769" s="42"/>
      <c r="D769" s="21"/>
      <c r="E769" s="21"/>
      <c r="F769" s="32"/>
      <c r="G769" s="32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42"/>
      <c r="C770" s="42"/>
      <c r="D770" s="21"/>
      <c r="E770" s="21"/>
      <c r="F770" s="32"/>
      <c r="G770" s="32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42"/>
      <c r="C771" s="42"/>
      <c r="D771" s="21"/>
      <c r="E771" s="21"/>
      <c r="F771" s="32"/>
      <c r="G771" s="32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42"/>
      <c r="C772" s="42"/>
      <c r="D772" s="21"/>
      <c r="E772" s="21"/>
      <c r="F772" s="32"/>
      <c r="G772" s="32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42"/>
      <c r="C773" s="42"/>
      <c r="D773" s="21"/>
      <c r="E773" s="21"/>
      <c r="F773" s="32"/>
      <c r="G773" s="32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42"/>
      <c r="C774" s="42"/>
      <c r="D774" s="21"/>
      <c r="E774" s="21"/>
      <c r="F774" s="32"/>
      <c r="G774" s="32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42"/>
      <c r="C775" s="42"/>
      <c r="D775" s="21"/>
      <c r="E775" s="21"/>
      <c r="F775" s="32"/>
      <c r="G775" s="32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42"/>
      <c r="C776" s="42"/>
      <c r="D776" s="21"/>
      <c r="E776" s="21"/>
      <c r="F776" s="32"/>
      <c r="G776" s="32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42"/>
      <c r="C777" s="42"/>
      <c r="D777" s="21"/>
      <c r="E777" s="21"/>
      <c r="F777" s="32"/>
      <c r="G777" s="32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42"/>
      <c r="C778" s="42"/>
      <c r="D778" s="21"/>
      <c r="E778" s="21"/>
      <c r="F778" s="32"/>
      <c r="G778" s="32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42"/>
      <c r="C779" s="42"/>
      <c r="D779" s="21"/>
      <c r="E779" s="21"/>
      <c r="F779" s="32"/>
      <c r="G779" s="32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42"/>
      <c r="C780" s="42"/>
      <c r="D780" s="21"/>
      <c r="E780" s="21"/>
      <c r="F780" s="32"/>
      <c r="G780" s="32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42"/>
      <c r="C781" s="42"/>
      <c r="D781" s="21"/>
      <c r="E781" s="21"/>
      <c r="F781" s="32"/>
      <c r="G781" s="32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42"/>
      <c r="C782" s="42"/>
      <c r="D782" s="21"/>
      <c r="E782" s="21"/>
      <c r="F782" s="32"/>
      <c r="G782" s="32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42"/>
      <c r="C783" s="42"/>
      <c r="D783" s="21"/>
      <c r="E783" s="21"/>
      <c r="F783" s="32"/>
      <c r="G783" s="32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42"/>
      <c r="C784" s="42"/>
      <c r="D784" s="21"/>
      <c r="E784" s="21"/>
      <c r="F784" s="32"/>
      <c r="G784" s="32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42"/>
      <c r="C785" s="42"/>
      <c r="D785" s="21"/>
      <c r="E785" s="21"/>
      <c r="F785" s="32"/>
      <c r="G785" s="32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42"/>
      <c r="C786" s="42"/>
      <c r="D786" s="21"/>
      <c r="E786" s="21"/>
      <c r="F786" s="32"/>
      <c r="G786" s="32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42"/>
      <c r="C787" s="42"/>
      <c r="D787" s="21"/>
      <c r="E787" s="21"/>
      <c r="F787" s="32"/>
      <c r="G787" s="32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42"/>
      <c r="C788" s="42"/>
      <c r="D788" s="21"/>
      <c r="E788" s="21"/>
      <c r="F788" s="32"/>
      <c r="G788" s="32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42"/>
      <c r="C789" s="42"/>
      <c r="D789" s="21"/>
      <c r="E789" s="21"/>
      <c r="F789" s="32"/>
      <c r="G789" s="32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42"/>
      <c r="C790" s="42"/>
      <c r="D790" s="21"/>
      <c r="E790" s="21"/>
      <c r="F790" s="32"/>
      <c r="G790" s="32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42"/>
      <c r="C791" s="42"/>
      <c r="D791" s="21"/>
      <c r="E791" s="21"/>
      <c r="F791" s="32"/>
      <c r="G791" s="32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42"/>
      <c r="C792" s="42"/>
      <c r="D792" s="21"/>
      <c r="E792" s="21"/>
      <c r="F792" s="32"/>
      <c r="G792" s="32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42"/>
      <c r="C793" s="42"/>
      <c r="D793" s="21"/>
      <c r="E793" s="21"/>
      <c r="F793" s="32"/>
      <c r="G793" s="32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42"/>
      <c r="C794" s="42"/>
      <c r="D794" s="21"/>
      <c r="E794" s="21"/>
      <c r="F794" s="32"/>
      <c r="G794" s="32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42"/>
      <c r="C795" s="42"/>
      <c r="D795" s="21"/>
      <c r="E795" s="21"/>
      <c r="F795" s="32"/>
      <c r="G795" s="32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42"/>
      <c r="C796" s="42"/>
      <c r="D796" s="21"/>
      <c r="E796" s="21"/>
      <c r="F796" s="32"/>
      <c r="G796" s="32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42"/>
      <c r="C797" s="42"/>
      <c r="D797" s="21"/>
      <c r="E797" s="21"/>
      <c r="F797" s="32"/>
      <c r="G797" s="32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42"/>
      <c r="C798" s="42"/>
      <c r="D798" s="21"/>
      <c r="E798" s="21"/>
      <c r="F798" s="32"/>
      <c r="G798" s="32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42"/>
      <c r="C799" s="42"/>
      <c r="D799" s="21"/>
      <c r="E799" s="21"/>
      <c r="F799" s="32"/>
      <c r="G799" s="32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42"/>
      <c r="C800" s="42"/>
      <c r="D800" s="21"/>
      <c r="E800" s="21"/>
      <c r="F800" s="32"/>
      <c r="G800" s="32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42"/>
      <c r="C801" s="42"/>
      <c r="D801" s="21"/>
      <c r="E801" s="21"/>
      <c r="F801" s="32"/>
      <c r="G801" s="32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42"/>
      <c r="C802" s="42"/>
      <c r="D802" s="21"/>
      <c r="E802" s="21"/>
      <c r="F802" s="32"/>
      <c r="G802" s="32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42"/>
      <c r="C803" s="42"/>
      <c r="D803" s="21"/>
      <c r="E803" s="21"/>
      <c r="F803" s="32"/>
      <c r="G803" s="32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42"/>
      <c r="C804" s="42"/>
      <c r="D804" s="21"/>
      <c r="E804" s="21"/>
      <c r="F804" s="32"/>
      <c r="G804" s="32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42"/>
      <c r="C805" s="42"/>
      <c r="D805" s="21"/>
      <c r="E805" s="21"/>
      <c r="F805" s="32"/>
      <c r="G805" s="32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42"/>
      <c r="C806" s="42"/>
      <c r="D806" s="21"/>
      <c r="E806" s="21"/>
      <c r="F806" s="32"/>
      <c r="G806" s="32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42"/>
      <c r="C807" s="42"/>
      <c r="D807" s="21"/>
      <c r="E807" s="21"/>
      <c r="F807" s="32"/>
      <c r="G807" s="32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42"/>
      <c r="C808" s="42"/>
      <c r="D808" s="21"/>
      <c r="E808" s="21"/>
      <c r="F808" s="32"/>
      <c r="G808" s="32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42"/>
      <c r="C809" s="42"/>
      <c r="D809" s="21"/>
      <c r="E809" s="21"/>
      <c r="F809" s="32"/>
      <c r="G809" s="32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42"/>
      <c r="C810" s="42"/>
      <c r="D810" s="21"/>
      <c r="E810" s="21"/>
      <c r="F810" s="32"/>
      <c r="G810" s="32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42"/>
      <c r="C811" s="42"/>
      <c r="D811" s="21"/>
      <c r="E811" s="21"/>
      <c r="F811" s="32"/>
      <c r="G811" s="32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42"/>
      <c r="C812" s="42"/>
      <c r="D812" s="21"/>
      <c r="E812" s="21"/>
      <c r="F812" s="32"/>
      <c r="G812" s="32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42"/>
      <c r="C813" s="42"/>
      <c r="D813" s="21"/>
      <c r="E813" s="21"/>
      <c r="F813" s="32"/>
      <c r="G813" s="32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42"/>
      <c r="C814" s="42"/>
      <c r="D814" s="21"/>
      <c r="E814" s="21"/>
      <c r="F814" s="32"/>
      <c r="G814" s="32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42"/>
      <c r="C815" s="42"/>
      <c r="D815" s="21"/>
      <c r="E815" s="21"/>
      <c r="F815" s="32"/>
      <c r="G815" s="32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42"/>
      <c r="C816" s="42"/>
      <c r="D816" s="21"/>
      <c r="E816" s="21"/>
      <c r="F816" s="32"/>
      <c r="G816" s="32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42"/>
      <c r="C817" s="42"/>
      <c r="D817" s="21"/>
      <c r="E817" s="21"/>
      <c r="F817" s="32"/>
      <c r="G817" s="32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42"/>
      <c r="C818" s="42"/>
      <c r="D818" s="21"/>
      <c r="E818" s="21"/>
      <c r="F818" s="32"/>
      <c r="G818" s="32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42"/>
      <c r="C819" s="42"/>
      <c r="D819" s="21"/>
      <c r="E819" s="21"/>
      <c r="F819" s="32"/>
      <c r="G819" s="32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42"/>
      <c r="C820" s="42"/>
      <c r="D820" s="21"/>
      <c r="E820" s="21"/>
      <c r="F820" s="32"/>
      <c r="G820" s="32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42"/>
      <c r="C821" s="42"/>
      <c r="D821" s="21"/>
      <c r="E821" s="21"/>
      <c r="F821" s="32"/>
      <c r="G821" s="32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42"/>
      <c r="C822" s="42"/>
      <c r="D822" s="21"/>
      <c r="E822" s="21"/>
      <c r="F822" s="32"/>
      <c r="G822" s="32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42"/>
      <c r="C823" s="42"/>
      <c r="D823" s="21"/>
      <c r="E823" s="21"/>
      <c r="F823" s="32"/>
      <c r="G823" s="32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42"/>
      <c r="C824" s="42"/>
      <c r="D824" s="21"/>
      <c r="E824" s="21"/>
      <c r="F824" s="32"/>
      <c r="G824" s="32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42"/>
      <c r="C825" s="42"/>
      <c r="D825" s="21"/>
      <c r="E825" s="21"/>
      <c r="F825" s="32"/>
      <c r="G825" s="32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42"/>
      <c r="C826" s="42"/>
      <c r="D826" s="21"/>
      <c r="E826" s="21"/>
      <c r="F826" s="32"/>
      <c r="G826" s="32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42"/>
      <c r="C827" s="42"/>
      <c r="D827" s="21"/>
      <c r="E827" s="21"/>
      <c r="F827" s="32"/>
      <c r="G827" s="32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42"/>
      <c r="C828" s="42"/>
      <c r="D828" s="21"/>
      <c r="E828" s="21"/>
      <c r="F828" s="32"/>
      <c r="G828" s="32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42"/>
      <c r="C829" s="42"/>
      <c r="D829" s="21"/>
      <c r="E829" s="21"/>
      <c r="F829" s="32"/>
      <c r="G829" s="32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42"/>
      <c r="C830" s="42"/>
      <c r="D830" s="21"/>
      <c r="E830" s="21"/>
      <c r="F830" s="32"/>
      <c r="G830" s="32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42"/>
      <c r="C831" s="42"/>
      <c r="D831" s="21"/>
      <c r="E831" s="21"/>
      <c r="F831" s="32"/>
      <c r="G831" s="32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42"/>
      <c r="C832" s="42"/>
      <c r="D832" s="21"/>
      <c r="E832" s="21"/>
      <c r="F832" s="32"/>
      <c r="G832" s="32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42"/>
      <c r="C833" s="42"/>
      <c r="D833" s="21"/>
      <c r="E833" s="21"/>
      <c r="F833" s="32"/>
      <c r="G833" s="32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42"/>
      <c r="C834" s="42"/>
      <c r="D834" s="21"/>
      <c r="E834" s="21"/>
      <c r="F834" s="32"/>
      <c r="G834" s="32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42"/>
      <c r="C835" s="42"/>
      <c r="D835" s="21"/>
      <c r="E835" s="21"/>
      <c r="F835" s="32"/>
      <c r="G835" s="32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42"/>
      <c r="C836" s="42"/>
      <c r="D836" s="21"/>
      <c r="E836" s="21"/>
      <c r="F836" s="32"/>
      <c r="G836" s="32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42"/>
      <c r="C837" s="42"/>
      <c r="D837" s="21"/>
      <c r="E837" s="21"/>
      <c r="F837" s="32"/>
      <c r="G837" s="32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42"/>
      <c r="C838" s="42"/>
      <c r="D838" s="21"/>
      <c r="E838" s="21"/>
      <c r="F838" s="32"/>
      <c r="G838" s="32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42"/>
      <c r="C839" s="42"/>
      <c r="D839" s="21"/>
      <c r="E839" s="21"/>
      <c r="F839" s="32"/>
      <c r="G839" s="32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42"/>
      <c r="C840" s="42"/>
      <c r="D840" s="21"/>
      <c r="E840" s="21"/>
      <c r="F840" s="32"/>
      <c r="G840" s="32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42"/>
      <c r="C841" s="42"/>
      <c r="D841" s="21"/>
      <c r="E841" s="21"/>
      <c r="F841" s="32"/>
      <c r="G841" s="32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42"/>
      <c r="C842" s="42"/>
      <c r="D842" s="21"/>
      <c r="E842" s="21"/>
      <c r="F842" s="32"/>
      <c r="G842" s="32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42"/>
      <c r="C843" s="42"/>
      <c r="D843" s="21"/>
      <c r="E843" s="21"/>
      <c r="F843" s="32"/>
      <c r="G843" s="32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42"/>
      <c r="C844" s="42"/>
      <c r="D844" s="21"/>
      <c r="E844" s="21"/>
      <c r="F844" s="32"/>
      <c r="G844" s="32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42"/>
      <c r="C845" s="42"/>
      <c r="D845" s="21"/>
      <c r="E845" s="21"/>
      <c r="F845" s="32"/>
      <c r="G845" s="32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42"/>
      <c r="C846" s="42"/>
      <c r="D846" s="21"/>
      <c r="E846" s="21"/>
      <c r="F846" s="32"/>
      <c r="G846" s="32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42"/>
      <c r="C847" s="42"/>
      <c r="D847" s="21"/>
      <c r="E847" s="21"/>
      <c r="F847" s="32"/>
      <c r="G847" s="32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42"/>
      <c r="C848" s="42"/>
      <c r="D848" s="21"/>
      <c r="E848" s="21"/>
      <c r="F848" s="32"/>
      <c r="G848" s="32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42"/>
      <c r="C849" s="42"/>
      <c r="D849" s="21"/>
      <c r="E849" s="21"/>
      <c r="F849" s="32"/>
      <c r="G849" s="32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42"/>
      <c r="C850" s="42"/>
      <c r="D850" s="21"/>
      <c r="E850" s="21"/>
      <c r="F850" s="32"/>
      <c r="G850" s="32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42"/>
      <c r="C851" s="42"/>
      <c r="D851" s="21"/>
      <c r="E851" s="21"/>
      <c r="F851" s="32"/>
      <c r="G851" s="32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42"/>
      <c r="C852" s="42"/>
      <c r="D852" s="21"/>
      <c r="E852" s="21"/>
      <c r="F852" s="32"/>
      <c r="G852" s="32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42"/>
      <c r="C853" s="42"/>
      <c r="D853" s="21"/>
      <c r="E853" s="21"/>
      <c r="F853" s="32"/>
      <c r="G853" s="32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42"/>
      <c r="C854" s="42"/>
      <c r="D854" s="21"/>
      <c r="E854" s="21"/>
      <c r="F854" s="32"/>
      <c r="G854" s="32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42"/>
      <c r="C855" s="42"/>
      <c r="D855" s="21"/>
      <c r="E855" s="21"/>
      <c r="F855" s="32"/>
      <c r="G855" s="32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42"/>
      <c r="C856" s="42"/>
      <c r="D856" s="21"/>
      <c r="E856" s="21"/>
      <c r="F856" s="32"/>
      <c r="G856" s="32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42"/>
      <c r="C857" s="42"/>
      <c r="D857" s="21"/>
      <c r="E857" s="21"/>
      <c r="F857" s="32"/>
      <c r="G857" s="32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42"/>
      <c r="C858" s="42"/>
      <c r="D858" s="21"/>
      <c r="E858" s="21"/>
      <c r="F858" s="32"/>
      <c r="G858" s="32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42"/>
      <c r="C859" s="42"/>
      <c r="D859" s="21"/>
      <c r="E859" s="21"/>
      <c r="F859" s="32"/>
      <c r="G859" s="32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42"/>
      <c r="C860" s="42"/>
      <c r="D860" s="21"/>
      <c r="E860" s="21"/>
      <c r="F860" s="32"/>
      <c r="G860" s="32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42"/>
      <c r="C861" s="42"/>
      <c r="D861" s="21"/>
      <c r="E861" s="21"/>
      <c r="F861" s="32"/>
      <c r="G861" s="32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42"/>
      <c r="C862" s="42"/>
      <c r="D862" s="21"/>
      <c r="E862" s="21"/>
      <c r="F862" s="32"/>
      <c r="G862" s="32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42"/>
      <c r="C863" s="42"/>
      <c r="D863" s="21"/>
      <c r="E863" s="21"/>
      <c r="F863" s="32"/>
      <c r="G863" s="32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42"/>
      <c r="C864" s="42"/>
      <c r="D864" s="21"/>
      <c r="E864" s="21"/>
      <c r="F864" s="32"/>
      <c r="G864" s="32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42"/>
      <c r="C865" s="42"/>
      <c r="D865" s="21"/>
      <c r="E865" s="21"/>
      <c r="F865" s="32"/>
      <c r="G865" s="32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42"/>
      <c r="C866" s="42"/>
      <c r="D866" s="21"/>
      <c r="E866" s="21"/>
      <c r="F866" s="32"/>
      <c r="G866" s="32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42"/>
      <c r="C867" s="42"/>
      <c r="D867" s="21"/>
      <c r="E867" s="21"/>
      <c r="F867" s="32"/>
      <c r="G867" s="32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42"/>
      <c r="C868" s="42"/>
      <c r="D868" s="21"/>
      <c r="E868" s="21"/>
      <c r="F868" s="32"/>
      <c r="G868" s="32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42"/>
      <c r="C869" s="42"/>
      <c r="D869" s="21"/>
      <c r="E869" s="21"/>
      <c r="F869" s="32"/>
      <c r="G869" s="32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42"/>
      <c r="C870" s="42"/>
      <c r="D870" s="21"/>
      <c r="E870" s="21"/>
      <c r="F870" s="32"/>
      <c r="G870" s="32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42"/>
      <c r="C871" s="42"/>
      <c r="D871" s="21"/>
      <c r="E871" s="21"/>
      <c r="F871" s="32"/>
      <c r="G871" s="32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42"/>
      <c r="C872" s="42"/>
      <c r="D872" s="21"/>
      <c r="E872" s="21"/>
      <c r="F872" s="32"/>
      <c r="G872" s="32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42"/>
      <c r="C873" s="42"/>
      <c r="D873" s="21"/>
      <c r="E873" s="21"/>
      <c r="F873" s="32"/>
      <c r="G873" s="32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42"/>
      <c r="C874" s="42"/>
      <c r="D874" s="21"/>
      <c r="E874" s="21"/>
      <c r="F874" s="32"/>
      <c r="G874" s="32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42"/>
      <c r="C875" s="42"/>
      <c r="D875" s="21"/>
      <c r="E875" s="21"/>
      <c r="F875" s="32"/>
      <c r="G875" s="32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42"/>
      <c r="C876" s="42"/>
      <c r="D876" s="21"/>
      <c r="E876" s="21"/>
      <c r="F876" s="32"/>
      <c r="G876" s="32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42"/>
      <c r="C877" s="42"/>
      <c r="D877" s="21"/>
      <c r="E877" s="21"/>
      <c r="F877" s="32"/>
      <c r="G877" s="32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42"/>
      <c r="C878" s="42"/>
      <c r="D878" s="21"/>
      <c r="E878" s="21"/>
      <c r="F878" s="32"/>
      <c r="G878" s="32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42"/>
      <c r="C879" s="42"/>
      <c r="D879" s="21"/>
      <c r="E879" s="21"/>
      <c r="F879" s="32"/>
      <c r="G879" s="32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42"/>
      <c r="C880" s="42"/>
      <c r="D880" s="21"/>
      <c r="E880" s="21"/>
      <c r="F880" s="32"/>
      <c r="G880" s="32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42"/>
      <c r="C881" s="42"/>
      <c r="D881" s="21"/>
      <c r="E881" s="21"/>
      <c r="F881" s="32"/>
      <c r="G881" s="32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42"/>
      <c r="C882" s="42"/>
      <c r="D882" s="21"/>
      <c r="E882" s="21"/>
      <c r="F882" s="32"/>
      <c r="G882" s="32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42"/>
      <c r="C883" s="42"/>
      <c r="D883" s="21"/>
      <c r="E883" s="21"/>
      <c r="F883" s="32"/>
      <c r="G883" s="32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42"/>
      <c r="C884" s="42"/>
      <c r="D884" s="21"/>
      <c r="E884" s="21"/>
      <c r="F884" s="32"/>
      <c r="G884" s="32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42"/>
      <c r="C885" s="42"/>
      <c r="D885" s="21"/>
      <c r="E885" s="21"/>
      <c r="F885" s="32"/>
      <c r="G885" s="32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42"/>
      <c r="C886" s="42"/>
      <c r="D886" s="21"/>
      <c r="E886" s="21"/>
      <c r="F886" s="32"/>
      <c r="G886" s="32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42"/>
      <c r="C887" s="42"/>
      <c r="D887" s="21"/>
      <c r="E887" s="21"/>
      <c r="F887" s="32"/>
      <c r="G887" s="32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42"/>
      <c r="C888" s="42"/>
      <c r="D888" s="21"/>
      <c r="E888" s="21"/>
      <c r="F888" s="32"/>
      <c r="G888" s="32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42"/>
      <c r="C889" s="42"/>
      <c r="D889" s="21"/>
      <c r="E889" s="21"/>
      <c r="F889" s="32"/>
      <c r="G889" s="32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42"/>
      <c r="C890" s="42"/>
      <c r="D890" s="21"/>
      <c r="E890" s="21"/>
      <c r="F890" s="32"/>
      <c r="G890" s="32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B891" s="35"/>
      <c r="C891" s="35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B892" s="35"/>
      <c r="C892" s="35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B893" s="35"/>
      <c r="C893" s="35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B894" s="35"/>
      <c r="C894" s="35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B895" s="35"/>
      <c r="C895" s="35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B896" s="35"/>
      <c r="C896" s="35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B897" s="35"/>
      <c r="C897" s="35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B898" s="35"/>
      <c r="C898" s="35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B899" s="35"/>
      <c r="C899" s="35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B900" s="35"/>
      <c r="C900" s="35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B901" s="35"/>
      <c r="C901" s="35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B902" s="35"/>
      <c r="C902" s="35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B903" s="35"/>
      <c r="C903" s="35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B904" s="35"/>
      <c r="C904" s="35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B905" s="35"/>
      <c r="C905" s="35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B906" s="35"/>
      <c r="C906" s="35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B907" s="35"/>
      <c r="C907" s="35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B908" s="35"/>
      <c r="C908" s="35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B909" s="35"/>
      <c r="C909" s="35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B910" s="35"/>
      <c r="C910" s="35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B911" s="35"/>
      <c r="C911" s="35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B912" s="35"/>
      <c r="C912" s="35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B913" s="35"/>
      <c r="C913" s="35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B914" s="35"/>
      <c r="C914" s="35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B915" s="35"/>
      <c r="C915" s="35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B916" s="35"/>
      <c r="C916" s="35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B917" s="35"/>
      <c r="C917" s="35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B918" s="35"/>
      <c r="C918" s="35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B919" s="35"/>
      <c r="C919" s="35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B920" s="35"/>
      <c r="C920" s="35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B921" s="35"/>
      <c r="C921" s="35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B922" s="35"/>
      <c r="C922" s="35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B923" s="35"/>
      <c r="C923" s="35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B924" s="35"/>
      <c r="C924" s="35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B925" s="35"/>
      <c r="C925" s="35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B926" s="35"/>
      <c r="C926" s="35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B927" s="35"/>
      <c r="C927" s="35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B928" s="35"/>
      <c r="C928" s="35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B929" s="35"/>
      <c r="C929" s="35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B930" s="35"/>
      <c r="C930" s="35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B931" s="35"/>
      <c r="C931" s="35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B932" s="35"/>
      <c r="C932" s="35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B933" s="35"/>
      <c r="C933" s="35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B934" s="35"/>
      <c r="C934" s="35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B935" s="35"/>
      <c r="C935" s="35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B936" s="35"/>
      <c r="C936" s="35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B937" s="35"/>
      <c r="C937" s="35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B938" s="35"/>
      <c r="C938" s="35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B939" s="35"/>
      <c r="C939" s="35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B940" s="35"/>
      <c r="C940" s="35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B941" s="35"/>
      <c r="C941" s="35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B942" s="35"/>
      <c r="C942" s="35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B943" s="35"/>
      <c r="C943" s="35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B944" s="35"/>
      <c r="C944" s="35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B945" s="35"/>
      <c r="C945" s="35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B946" s="35"/>
      <c r="C946" s="35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B947" s="35"/>
      <c r="C947" s="35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B948" s="35"/>
      <c r="C948" s="35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B949" s="35"/>
      <c r="C949" s="35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B950" s="35"/>
      <c r="C950" s="35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B951" s="35"/>
      <c r="C951" s="35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</sheetData>
  <mergeCells count="81">
    <mergeCell ref="H125:H129"/>
    <mergeCell ref="H130:H133"/>
    <mergeCell ref="H134:H138"/>
    <mergeCell ref="H139:H142"/>
    <mergeCell ref="H143:H147"/>
    <mergeCell ref="H148:H151"/>
    <mergeCell ref="I130:I133"/>
    <mergeCell ref="I134:I138"/>
    <mergeCell ref="J134:J142"/>
    <mergeCell ref="I139:I142"/>
    <mergeCell ref="I143:I147"/>
    <mergeCell ref="J143:J151"/>
    <mergeCell ref="I148:I151"/>
    <mergeCell ref="H116:H120"/>
    <mergeCell ref="I116:I120"/>
    <mergeCell ref="J116:J124"/>
    <mergeCell ref="H121:H124"/>
    <mergeCell ref="I121:I124"/>
    <mergeCell ref="I125:I129"/>
    <mergeCell ref="J125:J133"/>
    <mergeCell ref="C53:C57"/>
    <mergeCell ref="C134:C138"/>
    <mergeCell ref="D139:D142"/>
    <mergeCell ref="C143:C147"/>
    <mergeCell ref="D143:D147"/>
    <mergeCell ref="C148:C151"/>
    <mergeCell ref="D148:D151"/>
    <mergeCell ref="D53:D57"/>
    <mergeCell ref="D58:D61"/>
    <mergeCell ref="A80:A106"/>
    <mergeCell ref="A107:A151"/>
    <mergeCell ref="A42:A79"/>
    <mergeCell ref="C58:C61"/>
    <mergeCell ref="C107:C111"/>
    <mergeCell ref="D107:D111"/>
    <mergeCell ref="C112:C115"/>
    <mergeCell ref="D112:D115"/>
    <mergeCell ref="C116:C120"/>
    <mergeCell ref="D116:D120"/>
    <mergeCell ref="C121:C124"/>
    <mergeCell ref="D121:D124"/>
    <mergeCell ref="C125:C129"/>
    <mergeCell ref="D125:D129"/>
    <mergeCell ref="C130:C133"/>
    <mergeCell ref="D130:D133"/>
    <mergeCell ref="D134:D138"/>
    <mergeCell ref="C139:C142"/>
    <mergeCell ref="A1:J1"/>
    <mergeCell ref="D2:F3"/>
    <mergeCell ref="H23:K23"/>
    <mergeCell ref="H24:K24"/>
    <mergeCell ref="A4:C5"/>
    <mergeCell ref="A25:A41"/>
    <mergeCell ref="B25:B26"/>
    <mergeCell ref="B27:B33"/>
    <mergeCell ref="I25:I26"/>
    <mergeCell ref="J25:J29"/>
    <mergeCell ref="I27:I29"/>
    <mergeCell ref="D27:D29"/>
    <mergeCell ref="H27:H29"/>
    <mergeCell ref="H53:H57"/>
    <mergeCell ref="I53:I57"/>
    <mergeCell ref="J53:J61"/>
    <mergeCell ref="H58:H61"/>
    <mergeCell ref="I58:I61"/>
    <mergeCell ref="C80:C84"/>
    <mergeCell ref="D80:D84"/>
    <mergeCell ref="I80:I84"/>
    <mergeCell ref="J80:J88"/>
    <mergeCell ref="C85:C88"/>
    <mergeCell ref="D85:D88"/>
    <mergeCell ref="I85:I88"/>
    <mergeCell ref="H80:H84"/>
    <mergeCell ref="H85:H88"/>
    <mergeCell ref="H107:H111"/>
    <mergeCell ref="I107:I111"/>
    <mergeCell ref="J107:J115"/>
    <mergeCell ref="H112:H115"/>
    <mergeCell ref="I112:I115"/>
    <mergeCell ref="B34:B41"/>
    <mergeCell ref="H25:H26"/>
  </mergeCells>
  <conditionalFormatting sqref="J25:J151">
    <cfRule type="cellIs" dxfId="5" priority="1" operator="lessThan">
      <formula>0.2</formula>
    </cfRule>
  </conditionalFormatting>
  <conditionalFormatting sqref="J25:J151">
    <cfRule type="cellIs" dxfId="6" priority="2" operator="between">
      <formula>0.2</formula>
      <formula>0.4</formula>
    </cfRule>
  </conditionalFormatting>
  <conditionalFormatting sqref="J25:J151">
    <cfRule type="cellIs" dxfId="7" priority="3" operator="between">
      <formula>0.4</formula>
      <formula>0.6</formula>
    </cfRule>
  </conditionalFormatting>
  <conditionalFormatting sqref="J25:J151">
    <cfRule type="cellIs" dxfId="8" priority="4" operator="between">
      <formula>0.6</formula>
      <formula>0.8</formula>
    </cfRule>
  </conditionalFormatting>
  <conditionalFormatting sqref="J25:J151">
    <cfRule type="cellIs" dxfId="9" priority="5" operator="between">
      <formula>0.8</formula>
      <formula>0.95</formula>
    </cfRule>
  </conditionalFormatting>
  <conditionalFormatting sqref="J25:J151">
    <cfRule type="cellIs" dxfId="10" priority="6" operator="greaterThan">
      <formula>0.95</formula>
    </cfRule>
  </conditionalFormatting>
  <dataValidations>
    <dataValidation type="list" allowBlank="1" showErrorMessage="1" sqref="D25:D27 D30:D53 D58 D62:D80 D85 D89:D107 D112 D116 D121 D125 D130 D134 D139 D143 D148">
      <formula1>"Quân Anh,Thiên Phúc"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5.13"/>
    <col customWidth="1" min="2" max="2" width="27.13"/>
    <col customWidth="1" min="3" max="3" width="26.5"/>
    <col customWidth="1" min="4" max="4" width="61.13"/>
    <col customWidth="1" min="5" max="5" width="27.0"/>
    <col customWidth="1" min="6" max="6" width="33.5"/>
    <col customWidth="1" min="7" max="7" width="18.25"/>
    <col customWidth="1" min="8" max="8" width="2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 t="s">
        <v>9</v>
      </c>
      <c r="B2" s="4">
        <v>2022.0</v>
      </c>
      <c r="C2" s="5"/>
      <c r="D2" s="6"/>
      <c r="E2" s="3" t="s">
        <v>10</v>
      </c>
      <c r="F2" s="7"/>
      <c r="G2" s="8"/>
      <c r="H2" s="9"/>
      <c r="I2" s="10"/>
    </row>
    <row r="3" ht="22.5" customHeight="1">
      <c r="A3" s="3" t="s">
        <v>11</v>
      </c>
      <c r="B3" s="4">
        <v>2023.0</v>
      </c>
      <c r="C3" s="5"/>
      <c r="D3" s="6"/>
      <c r="E3" s="3" t="s">
        <v>12</v>
      </c>
      <c r="F3" s="7"/>
      <c r="G3" s="8"/>
      <c r="H3" s="9"/>
      <c r="I3" s="10"/>
    </row>
    <row r="4" ht="22.5" customHeight="1">
      <c r="A4" s="11" t="s">
        <v>13</v>
      </c>
      <c r="B4" s="12">
        <v>2023.0</v>
      </c>
      <c r="C4" s="13"/>
      <c r="D4" s="14" t="s">
        <v>14</v>
      </c>
      <c r="E4" s="11" t="s">
        <v>15</v>
      </c>
      <c r="F4" s="15"/>
      <c r="G4" s="16" t="s">
        <v>16</v>
      </c>
      <c r="H4" s="17" t="s">
        <v>17</v>
      </c>
      <c r="I4" s="18"/>
    </row>
    <row r="5" ht="22.5" customHeight="1">
      <c r="A5" s="19" t="s">
        <v>18</v>
      </c>
      <c r="B5" s="4">
        <v>2024.0</v>
      </c>
      <c r="C5" s="5"/>
      <c r="D5" s="6"/>
      <c r="E5" s="3" t="s">
        <v>19</v>
      </c>
      <c r="F5" s="7"/>
      <c r="G5" s="8"/>
      <c r="H5" s="9"/>
      <c r="I5" s="10"/>
    </row>
    <row r="6" ht="22.5" customHeight="1">
      <c r="A6" s="19" t="s">
        <v>21</v>
      </c>
      <c r="B6" s="4">
        <v>2024.0</v>
      </c>
      <c r="C6" s="5"/>
      <c r="D6" s="6"/>
      <c r="E6" s="23"/>
      <c r="F6" s="7"/>
      <c r="G6" s="8"/>
      <c r="H6" s="9"/>
      <c r="I6" s="10"/>
    </row>
    <row r="7" ht="22.5" customHeight="1">
      <c r="A7" s="11" t="s">
        <v>23</v>
      </c>
      <c r="B7" s="12">
        <v>2024.0</v>
      </c>
      <c r="C7" s="27" t="s">
        <v>25</v>
      </c>
      <c r="D7" s="14" t="s">
        <v>26</v>
      </c>
      <c r="E7" s="11" t="s">
        <v>27</v>
      </c>
      <c r="F7" s="15"/>
      <c r="G7" s="16" t="s">
        <v>16</v>
      </c>
      <c r="H7" s="17" t="s">
        <v>17</v>
      </c>
      <c r="I7" s="18"/>
    </row>
    <row r="8" ht="22.5" customHeight="1">
      <c r="A8" s="3" t="s">
        <v>28</v>
      </c>
      <c r="B8" s="4">
        <v>2024.0</v>
      </c>
      <c r="C8" s="33" t="s">
        <v>29</v>
      </c>
      <c r="D8" s="6"/>
      <c r="E8" s="3" t="s">
        <v>31</v>
      </c>
      <c r="F8" s="7"/>
      <c r="G8" s="8"/>
      <c r="H8" s="9"/>
      <c r="I8" s="10"/>
    </row>
    <row r="9" ht="22.5" customHeight="1">
      <c r="A9" s="11" t="s">
        <v>33</v>
      </c>
      <c r="B9" s="12">
        <v>2024.0</v>
      </c>
      <c r="C9" s="27" t="s">
        <v>35</v>
      </c>
      <c r="D9" s="14" t="s">
        <v>36</v>
      </c>
      <c r="E9" s="11" t="s">
        <v>37</v>
      </c>
      <c r="F9" s="15"/>
      <c r="G9" s="16" t="s">
        <v>16</v>
      </c>
      <c r="H9" s="40"/>
      <c r="I9" s="18"/>
    </row>
    <row r="10" ht="22.5" customHeight="1">
      <c r="A10" s="3" t="s">
        <v>38</v>
      </c>
      <c r="B10" s="4">
        <v>2024.0</v>
      </c>
      <c r="C10" s="33" t="s">
        <v>39</v>
      </c>
      <c r="D10" s="6"/>
      <c r="E10" s="23"/>
      <c r="F10" s="7"/>
      <c r="G10" s="8"/>
      <c r="H10" s="9"/>
      <c r="I10" s="10"/>
    </row>
    <row r="11" ht="22.5" customHeight="1">
      <c r="A11" s="41" t="s">
        <v>40</v>
      </c>
      <c r="B11" s="12">
        <v>2024.0</v>
      </c>
      <c r="C11" s="27" t="s">
        <v>35</v>
      </c>
      <c r="D11" s="14" t="s">
        <v>41</v>
      </c>
      <c r="E11" s="11" t="s">
        <v>42</v>
      </c>
      <c r="F11" s="15"/>
      <c r="G11" s="16" t="s">
        <v>16</v>
      </c>
      <c r="H11" s="17" t="s">
        <v>17</v>
      </c>
      <c r="I11" s="18"/>
    </row>
    <row r="12" ht="22.5" customHeight="1">
      <c r="A12" s="11" t="s">
        <v>43</v>
      </c>
      <c r="B12" s="12">
        <v>2024.0</v>
      </c>
      <c r="C12" s="27" t="s">
        <v>35</v>
      </c>
      <c r="D12" s="14" t="s">
        <v>46</v>
      </c>
      <c r="E12" s="11" t="s">
        <v>19</v>
      </c>
      <c r="F12" s="15"/>
      <c r="G12" s="16" t="s">
        <v>16</v>
      </c>
      <c r="H12" s="17" t="s">
        <v>17</v>
      </c>
      <c r="I12" s="18"/>
    </row>
    <row r="13" ht="22.5" customHeight="1">
      <c r="A13" s="41" t="s">
        <v>55</v>
      </c>
      <c r="B13" s="12">
        <v>2024.0</v>
      </c>
      <c r="C13" s="13"/>
      <c r="D13" s="14" t="s">
        <v>57</v>
      </c>
      <c r="E13" s="11" t="s">
        <v>59</v>
      </c>
      <c r="F13" s="15"/>
      <c r="G13" s="16" t="s">
        <v>16</v>
      </c>
      <c r="H13" s="17" t="s">
        <v>17</v>
      </c>
      <c r="I13" s="18"/>
    </row>
    <row r="14" ht="22.5" customHeight="1">
      <c r="A14" s="3" t="s">
        <v>60</v>
      </c>
      <c r="B14" s="4">
        <v>2024.0</v>
      </c>
      <c r="C14" s="33" t="s">
        <v>25</v>
      </c>
      <c r="D14" s="60"/>
      <c r="E14" s="3" t="s">
        <v>61</v>
      </c>
      <c r="F14" s="7"/>
      <c r="G14" s="8"/>
      <c r="H14" s="9"/>
      <c r="I14" s="10"/>
    </row>
    <row r="15" ht="22.5" customHeight="1">
      <c r="A15" s="11" t="s">
        <v>65</v>
      </c>
      <c r="B15" s="12">
        <v>2024.0</v>
      </c>
      <c r="C15" s="27" t="s">
        <v>66</v>
      </c>
      <c r="D15" s="14" t="s">
        <v>67</v>
      </c>
      <c r="E15" s="41" t="s">
        <v>68</v>
      </c>
      <c r="F15" s="15"/>
      <c r="G15" s="16" t="s">
        <v>16</v>
      </c>
      <c r="H15" s="17" t="s">
        <v>69</v>
      </c>
      <c r="I15" s="18"/>
    </row>
    <row r="16" ht="22.5" customHeight="1">
      <c r="A16" s="3" t="s">
        <v>70</v>
      </c>
      <c r="B16" s="4">
        <v>2024.0</v>
      </c>
      <c r="C16" s="33" t="s">
        <v>71</v>
      </c>
      <c r="D16" s="6"/>
      <c r="E16" s="23"/>
      <c r="F16" s="7"/>
      <c r="G16" s="8"/>
      <c r="H16" s="9"/>
      <c r="I16" s="10"/>
    </row>
    <row r="17" ht="22.5" customHeight="1">
      <c r="A17" s="3" t="s">
        <v>72</v>
      </c>
      <c r="B17" s="4">
        <v>2024.0</v>
      </c>
      <c r="C17" s="33" t="s">
        <v>35</v>
      </c>
      <c r="D17" s="6"/>
      <c r="E17" s="3" t="s">
        <v>74</v>
      </c>
      <c r="F17" s="7"/>
      <c r="G17" s="8"/>
      <c r="H17" s="9"/>
      <c r="I17" s="10"/>
    </row>
    <row r="18" ht="22.5" customHeight="1">
      <c r="A18" s="19" t="s">
        <v>75</v>
      </c>
      <c r="B18" s="81">
        <v>2025.0</v>
      </c>
      <c r="C18" s="82" t="s">
        <v>71</v>
      </c>
      <c r="D18" s="6"/>
      <c r="E18" s="23"/>
      <c r="F18" s="7"/>
      <c r="G18" s="8"/>
      <c r="H18" s="9"/>
      <c r="I18" s="10"/>
    </row>
    <row r="19" ht="22.5" customHeight="1">
      <c r="A19" s="3" t="s">
        <v>77</v>
      </c>
      <c r="B19" s="4">
        <v>2025.0</v>
      </c>
      <c r="C19" s="5"/>
      <c r="D19" s="6"/>
      <c r="E19" s="23"/>
      <c r="F19" s="7"/>
      <c r="G19" s="8"/>
      <c r="H19" s="9"/>
      <c r="I19" s="10"/>
    </row>
    <row r="20" ht="22.5" customHeight="1">
      <c r="A20" s="83" t="s">
        <v>78</v>
      </c>
      <c r="B20" s="84">
        <v>2025.0</v>
      </c>
      <c r="C20" s="85" t="s">
        <v>79</v>
      </c>
      <c r="D20" s="87"/>
      <c r="E20" s="88"/>
      <c r="F20" s="89"/>
      <c r="G20" s="90" t="s">
        <v>80</v>
      </c>
      <c r="H20" s="91" t="s">
        <v>17</v>
      </c>
      <c r="I20" s="92"/>
    </row>
    <row r="21" ht="22.5" customHeight="1">
      <c r="A21" s="3" t="s">
        <v>81</v>
      </c>
      <c r="B21" s="4">
        <v>2025.0</v>
      </c>
      <c r="C21" s="33" t="s">
        <v>82</v>
      </c>
      <c r="D21" s="6"/>
      <c r="E21" s="3" t="s">
        <v>83</v>
      </c>
      <c r="F21" s="7"/>
      <c r="G21" s="8"/>
      <c r="H21" s="9"/>
      <c r="I21" s="10"/>
    </row>
    <row r="22" ht="22.5" customHeight="1">
      <c r="A22" s="41" t="s">
        <v>84</v>
      </c>
      <c r="B22" s="12">
        <v>2025.0</v>
      </c>
      <c r="C22" s="27" t="s">
        <v>85</v>
      </c>
      <c r="D22" s="95"/>
      <c r="E22" s="11" t="s">
        <v>86</v>
      </c>
      <c r="F22" s="15"/>
      <c r="G22" s="16" t="s">
        <v>16</v>
      </c>
      <c r="H22" s="17" t="s">
        <v>17</v>
      </c>
      <c r="I22" s="18"/>
    </row>
    <row r="23" ht="22.5" customHeight="1">
      <c r="A23" s="3" t="s">
        <v>87</v>
      </c>
      <c r="B23" s="4">
        <v>2025.0</v>
      </c>
      <c r="C23" s="33" t="s">
        <v>85</v>
      </c>
      <c r="D23" s="6"/>
      <c r="E23" s="23"/>
      <c r="F23" s="7"/>
      <c r="G23" s="8"/>
      <c r="H23" s="9"/>
      <c r="I23" s="10"/>
    </row>
    <row r="24" ht="22.5" customHeight="1">
      <c r="A24" s="3" t="s">
        <v>88</v>
      </c>
      <c r="B24" s="4">
        <v>2025.0</v>
      </c>
      <c r="C24" s="5"/>
      <c r="D24" s="6"/>
      <c r="E24" s="3" t="s">
        <v>89</v>
      </c>
      <c r="F24" s="7"/>
      <c r="G24" s="8"/>
      <c r="H24" s="9"/>
      <c r="I24" s="10"/>
    </row>
    <row r="25" ht="22.5" customHeight="1">
      <c r="A25" s="41" t="s">
        <v>90</v>
      </c>
      <c r="B25" s="12">
        <v>2025.0</v>
      </c>
      <c r="C25" s="13"/>
      <c r="D25" s="95"/>
      <c r="E25" s="11" t="s">
        <v>91</v>
      </c>
      <c r="F25" s="15"/>
      <c r="G25" s="16" t="s">
        <v>16</v>
      </c>
      <c r="H25" s="17" t="s">
        <v>17</v>
      </c>
      <c r="I25" s="18"/>
    </row>
    <row r="26" ht="22.5" customHeight="1">
      <c r="A26" s="3" t="s">
        <v>92</v>
      </c>
      <c r="B26" s="4">
        <v>2025.0</v>
      </c>
      <c r="C26" s="5"/>
      <c r="D26" s="6"/>
      <c r="E26" s="3" t="s">
        <v>93</v>
      </c>
      <c r="F26" s="7"/>
      <c r="G26" s="8"/>
      <c r="H26" s="9"/>
      <c r="I26" s="10"/>
    </row>
    <row r="27" ht="22.5" customHeight="1">
      <c r="A27" s="11" t="s">
        <v>95</v>
      </c>
      <c r="B27" s="12">
        <v>2025.0</v>
      </c>
      <c r="C27" s="13"/>
      <c r="D27" s="95"/>
      <c r="E27" s="11" t="s">
        <v>96</v>
      </c>
      <c r="F27" s="15"/>
      <c r="G27" s="16" t="s">
        <v>16</v>
      </c>
      <c r="H27" s="17" t="s">
        <v>17</v>
      </c>
      <c r="I27" s="18"/>
    </row>
    <row r="28" ht="22.5" customHeight="1">
      <c r="A28" s="11" t="s">
        <v>97</v>
      </c>
      <c r="B28" s="12">
        <v>2025.0</v>
      </c>
      <c r="C28" s="27" t="s">
        <v>98</v>
      </c>
      <c r="D28" s="95"/>
      <c r="E28" s="11" t="s">
        <v>99</v>
      </c>
      <c r="F28" s="15"/>
      <c r="G28" s="16" t="s">
        <v>16</v>
      </c>
      <c r="H28" s="17" t="s">
        <v>17</v>
      </c>
      <c r="I28" s="18"/>
    </row>
    <row r="29" ht="22.5" customHeight="1">
      <c r="A29" s="3" t="s">
        <v>100</v>
      </c>
      <c r="B29" s="4">
        <v>2025.0</v>
      </c>
      <c r="C29" s="5"/>
      <c r="D29" s="6"/>
      <c r="E29" s="3" t="s">
        <v>101</v>
      </c>
      <c r="F29" s="7"/>
      <c r="G29" s="8"/>
      <c r="H29" s="9"/>
      <c r="I29" s="10"/>
    </row>
    <row r="30" ht="22.5" customHeight="1">
      <c r="A30" s="3" t="s">
        <v>102</v>
      </c>
      <c r="B30" s="4">
        <v>2025.0</v>
      </c>
      <c r="C30" s="5"/>
      <c r="D30" s="6"/>
      <c r="E30" s="3" t="s">
        <v>103</v>
      </c>
      <c r="F30" s="7"/>
      <c r="G30" s="8"/>
      <c r="H30" s="9"/>
      <c r="I30" s="10"/>
    </row>
    <row r="31" ht="22.5" customHeight="1">
      <c r="A31" s="3" t="s">
        <v>104</v>
      </c>
      <c r="B31" s="4">
        <v>2025.0</v>
      </c>
      <c r="C31" s="5"/>
      <c r="D31" s="6"/>
      <c r="E31" s="3" t="s">
        <v>105</v>
      </c>
      <c r="F31" s="7"/>
      <c r="G31" s="8"/>
      <c r="H31" s="9"/>
      <c r="I31" s="10"/>
    </row>
    <row r="32" ht="22.5" customHeight="1">
      <c r="A32" s="3" t="s">
        <v>106</v>
      </c>
      <c r="B32" s="4">
        <v>2025.0</v>
      </c>
      <c r="C32" s="33" t="s">
        <v>107</v>
      </c>
      <c r="D32" s="6"/>
      <c r="E32" s="3" t="s">
        <v>108</v>
      </c>
      <c r="F32" s="7"/>
      <c r="G32" s="8"/>
      <c r="H32" s="9"/>
      <c r="I32" s="10"/>
    </row>
    <row r="33" ht="22.5" customHeight="1">
      <c r="A33" s="3" t="s">
        <v>109</v>
      </c>
      <c r="B33" s="4">
        <v>2025.0</v>
      </c>
      <c r="C33" s="5"/>
      <c r="D33" s="6"/>
      <c r="E33" s="3" t="s">
        <v>110</v>
      </c>
      <c r="F33" s="7"/>
      <c r="G33" s="8"/>
      <c r="H33" s="9"/>
      <c r="I33" s="10"/>
    </row>
    <row r="34" ht="22.5" customHeight="1">
      <c r="A34" s="11" t="s">
        <v>112</v>
      </c>
      <c r="B34" s="12">
        <v>2025.0</v>
      </c>
      <c r="C34" s="27" t="s">
        <v>107</v>
      </c>
      <c r="D34" s="95"/>
      <c r="E34" s="11" t="s">
        <v>113</v>
      </c>
      <c r="F34" s="15"/>
      <c r="G34" s="16" t="s">
        <v>16</v>
      </c>
      <c r="H34" s="17" t="s">
        <v>17</v>
      </c>
      <c r="I34" s="18"/>
    </row>
    <row r="35" ht="22.5" customHeight="1">
      <c r="A35" s="3" t="s">
        <v>114</v>
      </c>
      <c r="B35" s="4">
        <v>2025.0</v>
      </c>
      <c r="C35" s="5"/>
      <c r="D35" s="6"/>
      <c r="E35" s="3" t="s">
        <v>115</v>
      </c>
      <c r="F35" s="7"/>
      <c r="G35" s="8"/>
      <c r="H35" s="9"/>
      <c r="I35" s="10"/>
    </row>
    <row r="36" ht="22.5" customHeight="1">
      <c r="A36" s="3" t="s">
        <v>116</v>
      </c>
      <c r="B36" s="4">
        <v>2025.0</v>
      </c>
      <c r="C36" s="5"/>
      <c r="D36" s="6"/>
      <c r="E36" s="3" t="s">
        <v>117</v>
      </c>
      <c r="F36" s="7"/>
      <c r="G36" s="8"/>
      <c r="H36" s="9"/>
      <c r="I36" s="10"/>
    </row>
    <row r="37" ht="22.5" customHeight="1">
      <c r="A37" s="11" t="s">
        <v>170</v>
      </c>
      <c r="B37" s="12">
        <v>2025.0</v>
      </c>
      <c r="C37" s="13"/>
      <c r="D37" s="95"/>
      <c r="E37" s="11" t="s">
        <v>171</v>
      </c>
      <c r="F37" s="15"/>
      <c r="G37" s="16" t="s">
        <v>16</v>
      </c>
      <c r="H37" s="17" t="s">
        <v>17</v>
      </c>
      <c r="I37" s="18"/>
    </row>
    <row r="38" ht="22.5" customHeight="1">
      <c r="A38" s="3" t="s">
        <v>172</v>
      </c>
      <c r="B38" s="4">
        <v>2025.0</v>
      </c>
      <c r="C38" s="5"/>
      <c r="D38" s="6"/>
      <c r="E38" s="3" t="s">
        <v>173</v>
      </c>
      <c r="F38" s="7"/>
      <c r="G38" s="8"/>
      <c r="H38" s="9"/>
      <c r="I38" s="10"/>
    </row>
    <row r="39" ht="22.5" customHeight="1">
      <c r="A39" s="3" t="s">
        <v>174</v>
      </c>
      <c r="B39" s="4">
        <v>2025.0</v>
      </c>
      <c r="C39" s="33" t="s">
        <v>175</v>
      </c>
      <c r="D39" s="6"/>
      <c r="E39" s="3" t="s">
        <v>176</v>
      </c>
      <c r="F39" s="7"/>
      <c r="G39" s="8"/>
      <c r="H39" s="9"/>
      <c r="I39" s="10"/>
    </row>
    <row r="40" ht="22.5" customHeight="1">
      <c r="A40" s="3" t="s">
        <v>177</v>
      </c>
      <c r="B40" s="4">
        <v>2025.0</v>
      </c>
      <c r="C40" s="5"/>
      <c r="D40" s="6"/>
      <c r="E40" s="3" t="s">
        <v>178</v>
      </c>
      <c r="F40" s="7"/>
      <c r="G40" s="8"/>
      <c r="H40" s="9"/>
      <c r="I40" s="10"/>
    </row>
    <row r="41" ht="22.5" customHeight="1">
      <c r="A41" s="3" t="s">
        <v>179</v>
      </c>
      <c r="B41" s="4">
        <v>2025.0</v>
      </c>
      <c r="C41" s="33" t="s">
        <v>180</v>
      </c>
      <c r="D41" s="6"/>
      <c r="E41" s="3" t="s">
        <v>181</v>
      </c>
      <c r="F41" s="7"/>
      <c r="G41" s="8"/>
      <c r="H41" s="9"/>
      <c r="I41" s="10"/>
    </row>
    <row r="42" ht="22.5" customHeight="1">
      <c r="A42" s="3" t="s">
        <v>182</v>
      </c>
      <c r="B42" s="4">
        <v>2025.0</v>
      </c>
      <c r="C42" s="33" t="s">
        <v>183</v>
      </c>
      <c r="D42" s="6"/>
      <c r="E42" s="3" t="s">
        <v>184</v>
      </c>
      <c r="F42" s="7"/>
      <c r="G42" s="8"/>
      <c r="H42" s="9"/>
      <c r="I42" s="10"/>
    </row>
    <row r="43" ht="22.5" customHeight="1">
      <c r="A43" s="3" t="s">
        <v>185</v>
      </c>
      <c r="B43" s="4">
        <v>2025.0</v>
      </c>
      <c r="C43" s="33" t="s">
        <v>186</v>
      </c>
      <c r="D43" s="6"/>
      <c r="E43" s="3" t="s">
        <v>187</v>
      </c>
      <c r="F43" s="7"/>
      <c r="G43" s="8"/>
      <c r="H43" s="9"/>
      <c r="I43" s="10"/>
    </row>
    <row r="44" ht="22.5" customHeight="1">
      <c r="A44" s="3" t="s">
        <v>188</v>
      </c>
      <c r="B44" s="4">
        <v>2025.0</v>
      </c>
      <c r="C44" s="33" t="s">
        <v>189</v>
      </c>
      <c r="D44" s="6"/>
      <c r="E44" s="3" t="s">
        <v>190</v>
      </c>
      <c r="F44" s="7"/>
      <c r="G44" s="8"/>
      <c r="H44" s="9"/>
      <c r="I44" s="10"/>
    </row>
    <row r="45" ht="22.5" customHeight="1">
      <c r="A45" s="11" t="s">
        <v>191</v>
      </c>
      <c r="B45" s="12">
        <v>2025.0</v>
      </c>
      <c r="C45" s="27" t="s">
        <v>189</v>
      </c>
      <c r="D45" s="95"/>
      <c r="E45" s="11" t="s">
        <v>192</v>
      </c>
      <c r="F45" s="15"/>
      <c r="G45" s="16" t="s">
        <v>16</v>
      </c>
      <c r="H45" s="17" t="s">
        <v>17</v>
      </c>
      <c r="I45" s="18"/>
    </row>
    <row r="46" ht="22.5" customHeight="1">
      <c r="A46" s="3" t="s">
        <v>193</v>
      </c>
      <c r="B46" s="4">
        <v>2025.0</v>
      </c>
      <c r="C46" s="33" t="s">
        <v>194</v>
      </c>
      <c r="D46" s="6"/>
      <c r="E46" s="3" t="s">
        <v>195</v>
      </c>
      <c r="F46" s="7"/>
      <c r="G46" s="8"/>
      <c r="H46" s="9"/>
      <c r="I46" s="10"/>
    </row>
    <row r="47" ht="22.5" customHeight="1">
      <c r="A47" s="107" t="s">
        <v>196</v>
      </c>
      <c r="B47" s="84">
        <v>2025.0</v>
      </c>
      <c r="C47" s="85" t="s">
        <v>166</v>
      </c>
      <c r="D47" s="87"/>
      <c r="E47" s="88"/>
      <c r="F47" s="89"/>
      <c r="G47" s="108" t="s">
        <v>80</v>
      </c>
      <c r="H47" s="91" t="s">
        <v>17</v>
      </c>
      <c r="I47" s="92"/>
    </row>
    <row r="48" ht="22.5" customHeight="1">
      <c r="A48" s="3" t="s">
        <v>197</v>
      </c>
      <c r="B48" s="4">
        <v>2025.0</v>
      </c>
      <c r="C48" s="33" t="s">
        <v>175</v>
      </c>
      <c r="D48" s="6"/>
      <c r="E48" s="3" t="s">
        <v>198</v>
      </c>
      <c r="F48" s="7"/>
      <c r="G48" s="8"/>
      <c r="H48" s="9"/>
      <c r="I48" s="10"/>
    </row>
    <row r="49" ht="22.5" customHeight="1">
      <c r="A49" s="3" t="s">
        <v>199</v>
      </c>
      <c r="B49" s="81">
        <v>2025.0</v>
      </c>
      <c r="C49" s="5"/>
      <c r="D49" s="6"/>
      <c r="E49" s="23"/>
      <c r="F49" s="7"/>
      <c r="G49" s="8"/>
      <c r="H49" s="9"/>
      <c r="I49" s="10"/>
    </row>
    <row r="50" ht="22.5" customHeight="1">
      <c r="A50" s="3" t="s">
        <v>200</v>
      </c>
      <c r="B50" s="4">
        <v>2025.0</v>
      </c>
      <c r="C50" s="5"/>
      <c r="D50" s="6"/>
      <c r="E50" s="3" t="s">
        <v>201</v>
      </c>
      <c r="F50" s="7"/>
      <c r="G50" s="8"/>
      <c r="H50" s="9"/>
      <c r="I50" s="10"/>
    </row>
    <row r="51" ht="22.5" customHeight="1">
      <c r="A51" s="11" t="s">
        <v>202</v>
      </c>
      <c r="B51" s="12">
        <v>2025.0</v>
      </c>
      <c r="C51" s="13"/>
      <c r="D51" s="95"/>
      <c r="E51" s="11" t="s">
        <v>203</v>
      </c>
      <c r="F51" s="15"/>
      <c r="G51" s="16" t="s">
        <v>16</v>
      </c>
      <c r="H51" s="17" t="s">
        <v>17</v>
      </c>
      <c r="I51" s="18"/>
    </row>
    <row r="52" ht="22.5" customHeight="1">
      <c r="A52" s="3" t="s">
        <v>204</v>
      </c>
      <c r="B52" s="4">
        <v>2025.0</v>
      </c>
      <c r="C52" s="33" t="s">
        <v>205</v>
      </c>
      <c r="D52" s="6"/>
      <c r="E52" s="3" t="s">
        <v>206</v>
      </c>
      <c r="F52" s="7"/>
      <c r="G52" s="8"/>
      <c r="H52" s="9"/>
      <c r="I52" s="10"/>
    </row>
    <row r="53" ht="22.5" customHeight="1">
      <c r="A53" s="3" t="s">
        <v>207</v>
      </c>
      <c r="B53" s="4">
        <v>2025.0</v>
      </c>
      <c r="C53" s="33" t="s">
        <v>208</v>
      </c>
      <c r="D53" s="6"/>
      <c r="E53" s="3" t="s">
        <v>209</v>
      </c>
      <c r="F53" s="7"/>
      <c r="G53" s="8"/>
      <c r="H53" s="9"/>
      <c r="I53" s="10"/>
    </row>
    <row r="54" ht="22.5" customHeight="1">
      <c r="A54" s="3" t="s">
        <v>210</v>
      </c>
      <c r="B54" s="4">
        <v>2025.0</v>
      </c>
      <c r="C54" s="33" t="s">
        <v>211</v>
      </c>
      <c r="D54" s="6"/>
      <c r="E54" s="7"/>
      <c r="F54" s="7"/>
      <c r="G54" s="8"/>
      <c r="H54" s="9"/>
      <c r="I54" s="10"/>
    </row>
    <row r="55" ht="22.5" customHeight="1">
      <c r="A55" s="3" t="s">
        <v>212</v>
      </c>
      <c r="B55" s="4">
        <v>2025.0</v>
      </c>
      <c r="C55" s="5"/>
      <c r="D55" s="6"/>
      <c r="E55" s="3" t="s">
        <v>213</v>
      </c>
      <c r="F55" s="7"/>
      <c r="G55" s="8"/>
      <c r="H55" s="9"/>
      <c r="I55" s="10"/>
    </row>
    <row r="56" ht="22.5" customHeight="1">
      <c r="A56" s="107" t="s">
        <v>214</v>
      </c>
      <c r="B56" s="84">
        <v>2025.0</v>
      </c>
      <c r="C56" s="109"/>
      <c r="D56" s="87"/>
      <c r="E56" s="89"/>
      <c r="F56" s="89"/>
      <c r="G56" s="108" t="s">
        <v>80</v>
      </c>
      <c r="H56" s="91" t="s">
        <v>17</v>
      </c>
      <c r="I56" s="92"/>
    </row>
    <row r="57" ht="22.5" customHeight="1">
      <c r="A57" s="3" t="s">
        <v>215</v>
      </c>
      <c r="B57" s="4">
        <v>2025.0</v>
      </c>
      <c r="C57" s="5"/>
      <c r="D57" s="6"/>
      <c r="E57" s="3" t="s">
        <v>216</v>
      </c>
      <c r="F57" s="7"/>
      <c r="G57" s="8"/>
      <c r="H57" s="9"/>
      <c r="I57" s="10"/>
    </row>
    <row r="58" ht="22.5" customHeight="1">
      <c r="A58" s="107" t="s">
        <v>217</v>
      </c>
      <c r="B58" s="84">
        <v>2025.0</v>
      </c>
      <c r="C58" s="109"/>
      <c r="D58" s="87"/>
      <c r="E58" s="89"/>
      <c r="F58" s="89"/>
      <c r="G58" s="108" t="s">
        <v>80</v>
      </c>
      <c r="H58" s="91" t="s">
        <v>17</v>
      </c>
      <c r="I58" s="92"/>
    </row>
    <row r="59" ht="22.5" customHeight="1">
      <c r="A59" s="3" t="s">
        <v>218</v>
      </c>
      <c r="B59" s="4">
        <v>2025.0</v>
      </c>
      <c r="C59" s="33" t="s">
        <v>219</v>
      </c>
      <c r="D59" s="6"/>
      <c r="E59" s="3" t="s">
        <v>220</v>
      </c>
      <c r="F59" s="7"/>
      <c r="G59" s="8"/>
      <c r="H59" s="9"/>
      <c r="I59" s="10"/>
    </row>
    <row r="60" ht="22.5" customHeight="1">
      <c r="A60" s="3" t="s">
        <v>221</v>
      </c>
      <c r="B60" s="4">
        <v>2025.0</v>
      </c>
      <c r="C60" s="33" t="s">
        <v>222</v>
      </c>
      <c r="D60" s="6"/>
      <c r="E60" s="3" t="s">
        <v>223</v>
      </c>
      <c r="F60" s="7"/>
      <c r="G60" s="8"/>
      <c r="H60" s="9"/>
      <c r="I60" s="10"/>
    </row>
    <row r="61" ht="22.5" customHeight="1">
      <c r="A61" s="3" t="s">
        <v>224</v>
      </c>
      <c r="B61" s="4">
        <v>2026.0</v>
      </c>
      <c r="C61" s="33" t="s">
        <v>208</v>
      </c>
      <c r="D61" s="6"/>
      <c r="E61" s="3" t="s">
        <v>225</v>
      </c>
      <c r="F61" s="7"/>
      <c r="G61" s="8"/>
      <c r="H61" s="9"/>
      <c r="I61" s="10"/>
    </row>
    <row r="62" ht="22.5" customHeight="1">
      <c r="A62" s="3" t="s">
        <v>226</v>
      </c>
      <c r="B62" s="4">
        <v>2026.0</v>
      </c>
      <c r="C62" s="33" t="s">
        <v>227</v>
      </c>
      <c r="D62" s="6"/>
      <c r="E62" s="3" t="s">
        <v>228</v>
      </c>
      <c r="F62" s="7"/>
      <c r="G62" s="8"/>
      <c r="H62" s="9"/>
      <c r="I62" s="10"/>
    </row>
    <row r="63" ht="22.5" customHeight="1">
      <c r="A63" s="3" t="s">
        <v>229</v>
      </c>
      <c r="B63" s="4">
        <v>2026.0</v>
      </c>
      <c r="C63" s="5"/>
      <c r="D63" s="6"/>
      <c r="E63" s="23"/>
      <c r="F63" s="7"/>
      <c r="G63" s="8"/>
      <c r="H63" s="9"/>
      <c r="I63" s="10"/>
    </row>
    <row r="64" ht="22.5" customHeight="1">
      <c r="A64" s="11" t="s">
        <v>230</v>
      </c>
      <c r="B64" s="12">
        <v>2026.0</v>
      </c>
      <c r="C64" s="27" t="s">
        <v>231</v>
      </c>
      <c r="D64" s="95"/>
      <c r="E64" s="11" t="s">
        <v>232</v>
      </c>
      <c r="F64" s="15"/>
      <c r="G64" s="16" t="s">
        <v>16</v>
      </c>
      <c r="H64" s="17" t="s">
        <v>17</v>
      </c>
      <c r="I64" s="18"/>
    </row>
    <row r="65" ht="22.5" customHeight="1">
      <c r="A65" s="11" t="s">
        <v>233</v>
      </c>
      <c r="B65" s="12">
        <v>2026.0</v>
      </c>
      <c r="C65" s="110" t="s">
        <v>234</v>
      </c>
      <c r="D65" s="95"/>
      <c r="E65" s="11" t="s">
        <v>235</v>
      </c>
      <c r="F65" s="15"/>
      <c r="G65" s="16" t="s">
        <v>16</v>
      </c>
      <c r="H65" s="17" t="s">
        <v>17</v>
      </c>
      <c r="I65" s="18"/>
    </row>
    <row r="66" ht="22.5" customHeight="1">
      <c r="A66" s="111" t="s">
        <v>236</v>
      </c>
      <c r="B66" s="112">
        <v>2026.0</v>
      </c>
      <c r="C66" s="113" t="s">
        <v>231</v>
      </c>
      <c r="D66" s="114"/>
      <c r="E66" s="111" t="s">
        <v>237</v>
      </c>
      <c r="F66" s="115"/>
      <c r="G66" s="116" t="s">
        <v>16</v>
      </c>
      <c r="H66" s="117" t="s">
        <v>17</v>
      </c>
      <c r="I66" s="118"/>
    </row>
    <row r="67" ht="22.5" customHeight="1">
      <c r="A67" s="11" t="s">
        <v>238</v>
      </c>
      <c r="B67" s="12">
        <v>2026.0</v>
      </c>
      <c r="C67" s="27" t="s">
        <v>168</v>
      </c>
      <c r="D67" s="95"/>
      <c r="E67" s="11" t="s">
        <v>239</v>
      </c>
      <c r="F67" s="15"/>
      <c r="G67" s="16" t="s">
        <v>16</v>
      </c>
      <c r="H67" s="17" t="s">
        <v>17</v>
      </c>
      <c r="I67" s="18"/>
    </row>
    <row r="68" ht="22.5" customHeight="1">
      <c r="A68" s="3" t="s">
        <v>240</v>
      </c>
      <c r="B68" s="4">
        <v>2026.0</v>
      </c>
      <c r="C68" s="33" t="s">
        <v>194</v>
      </c>
      <c r="D68" s="6"/>
      <c r="E68" s="3" t="s">
        <v>241</v>
      </c>
      <c r="F68" s="7"/>
      <c r="G68" s="8"/>
      <c r="H68" s="9"/>
      <c r="I68" s="10"/>
    </row>
    <row r="69">
      <c r="B69" s="119"/>
      <c r="C69" s="120"/>
    </row>
    <row r="70">
      <c r="A70" s="121" t="s">
        <v>242</v>
      </c>
      <c r="B70" s="119"/>
      <c r="C70" s="120"/>
    </row>
    <row r="71">
      <c r="B71" s="119"/>
      <c r="C71" s="120"/>
    </row>
    <row r="72">
      <c r="B72" s="119"/>
      <c r="C72" s="120"/>
    </row>
    <row r="73">
      <c r="B73" s="119"/>
      <c r="C73" s="120"/>
    </row>
    <row r="74">
      <c r="B74" s="119"/>
      <c r="C74" s="120"/>
    </row>
    <row r="75">
      <c r="B75" s="119"/>
      <c r="C75" s="120"/>
    </row>
    <row r="76">
      <c r="B76" s="119"/>
      <c r="C76" s="120"/>
    </row>
    <row r="77">
      <c r="B77" s="119"/>
      <c r="C77" s="120"/>
    </row>
    <row r="78">
      <c r="B78" s="119"/>
      <c r="C78" s="120"/>
    </row>
    <row r="79">
      <c r="B79" s="119"/>
      <c r="C79" s="120"/>
    </row>
    <row r="80">
      <c r="B80" s="119"/>
      <c r="C80" s="120"/>
    </row>
    <row r="81">
      <c r="B81" s="119"/>
      <c r="C81" s="120"/>
    </row>
    <row r="82">
      <c r="B82" s="119"/>
      <c r="C82" s="120"/>
    </row>
    <row r="83">
      <c r="B83" s="119"/>
      <c r="C83" s="120"/>
    </row>
    <row r="84">
      <c r="B84" s="119"/>
      <c r="C84" s="120"/>
    </row>
    <row r="85">
      <c r="B85" s="119"/>
      <c r="C85" s="120"/>
    </row>
    <row r="86">
      <c r="B86" s="119"/>
      <c r="C86" s="120"/>
    </row>
    <row r="87">
      <c r="B87" s="119"/>
      <c r="C87" s="120"/>
    </row>
    <row r="88">
      <c r="B88" s="119"/>
      <c r="C88" s="120"/>
    </row>
    <row r="89">
      <c r="B89" s="119"/>
      <c r="C89" s="120"/>
    </row>
    <row r="90">
      <c r="B90" s="119"/>
      <c r="C90" s="120"/>
    </row>
    <row r="91">
      <c r="B91" s="119"/>
      <c r="C91" s="120"/>
    </row>
    <row r="92">
      <c r="B92" s="119"/>
      <c r="C92" s="120"/>
    </row>
    <row r="93">
      <c r="B93" s="119"/>
      <c r="C93" s="120"/>
    </row>
    <row r="94">
      <c r="B94" s="119"/>
      <c r="C94" s="120"/>
    </row>
    <row r="95">
      <c r="B95" s="119"/>
      <c r="C95" s="120"/>
    </row>
    <row r="96">
      <c r="B96" s="119"/>
      <c r="C96" s="120"/>
    </row>
    <row r="97">
      <c r="B97" s="119"/>
      <c r="C97" s="120"/>
    </row>
    <row r="98">
      <c r="B98" s="119"/>
      <c r="C98" s="120"/>
    </row>
    <row r="99">
      <c r="B99" s="119"/>
      <c r="C99" s="120"/>
    </row>
    <row r="100">
      <c r="B100" s="119"/>
      <c r="C100" s="120"/>
    </row>
    <row r="101">
      <c r="B101" s="119"/>
      <c r="C101" s="120"/>
    </row>
    <row r="102">
      <c r="B102" s="119"/>
      <c r="C102" s="120"/>
    </row>
    <row r="103">
      <c r="B103" s="119"/>
      <c r="C103" s="120"/>
    </row>
    <row r="104">
      <c r="B104" s="119"/>
      <c r="C104" s="120"/>
    </row>
    <row r="105">
      <c r="B105" s="119"/>
      <c r="C105" s="120"/>
    </row>
    <row r="106">
      <c r="B106" s="119"/>
      <c r="C106" s="120"/>
    </row>
    <row r="107">
      <c r="B107" s="119"/>
      <c r="C107" s="120"/>
    </row>
    <row r="108">
      <c r="B108" s="119"/>
      <c r="C108" s="120"/>
    </row>
    <row r="109">
      <c r="B109" s="119"/>
      <c r="C109" s="120"/>
    </row>
    <row r="110">
      <c r="B110" s="119"/>
      <c r="C110" s="120"/>
    </row>
    <row r="111">
      <c r="B111" s="119"/>
      <c r="C111" s="120"/>
    </row>
    <row r="112">
      <c r="B112" s="119"/>
      <c r="C112" s="120"/>
    </row>
    <row r="113">
      <c r="B113" s="119"/>
      <c r="C113" s="120"/>
    </row>
    <row r="114">
      <c r="B114" s="119"/>
      <c r="C114" s="120"/>
    </row>
    <row r="115">
      <c r="B115" s="119"/>
      <c r="C115" s="120"/>
    </row>
    <row r="116">
      <c r="B116" s="119"/>
      <c r="C116" s="120"/>
    </row>
    <row r="117">
      <c r="B117" s="119"/>
      <c r="C117" s="120"/>
    </row>
    <row r="118">
      <c r="B118" s="119"/>
      <c r="C118" s="120"/>
    </row>
    <row r="119">
      <c r="B119" s="119"/>
      <c r="C119" s="120"/>
    </row>
    <row r="120">
      <c r="B120" s="119"/>
      <c r="C120" s="120"/>
    </row>
    <row r="121">
      <c r="B121" s="119"/>
      <c r="C121" s="120"/>
    </row>
    <row r="122">
      <c r="B122" s="119"/>
      <c r="C122" s="120"/>
    </row>
    <row r="123">
      <c r="B123" s="119"/>
      <c r="C123" s="120"/>
    </row>
    <row r="124">
      <c r="B124" s="119"/>
      <c r="C124" s="120"/>
    </row>
    <row r="125">
      <c r="B125" s="119"/>
      <c r="C125" s="120"/>
    </row>
    <row r="126">
      <c r="B126" s="119"/>
      <c r="C126" s="120"/>
    </row>
    <row r="127">
      <c r="B127" s="119"/>
      <c r="C127" s="120"/>
    </row>
    <row r="128">
      <c r="B128" s="119"/>
      <c r="C128" s="120"/>
    </row>
    <row r="129">
      <c r="B129" s="119"/>
      <c r="C129" s="120"/>
    </row>
    <row r="130">
      <c r="B130" s="119"/>
      <c r="C130" s="120"/>
    </row>
    <row r="131">
      <c r="B131" s="119"/>
      <c r="C131" s="120"/>
    </row>
    <row r="132">
      <c r="B132" s="119"/>
      <c r="C132" s="120"/>
    </row>
    <row r="133">
      <c r="B133" s="119"/>
      <c r="C133" s="120"/>
    </row>
    <row r="134">
      <c r="B134" s="119"/>
      <c r="C134" s="120"/>
    </row>
    <row r="135">
      <c r="B135" s="119"/>
      <c r="C135" s="120"/>
    </row>
    <row r="136">
      <c r="B136" s="119"/>
      <c r="C136" s="120"/>
    </row>
    <row r="137">
      <c r="B137" s="119"/>
      <c r="C137" s="120"/>
    </row>
    <row r="138">
      <c r="B138" s="119"/>
      <c r="C138" s="120"/>
    </row>
    <row r="139">
      <c r="B139" s="119"/>
      <c r="C139" s="120"/>
    </row>
    <row r="140">
      <c r="B140" s="119"/>
      <c r="C140" s="120"/>
    </row>
    <row r="141">
      <c r="B141" s="119"/>
      <c r="C141" s="120"/>
    </row>
    <row r="142">
      <c r="B142" s="119"/>
      <c r="C142" s="120"/>
    </row>
    <row r="143">
      <c r="B143" s="119"/>
      <c r="C143" s="120"/>
    </row>
    <row r="144">
      <c r="B144" s="119"/>
      <c r="C144" s="120"/>
    </row>
    <row r="145">
      <c r="B145" s="119"/>
      <c r="C145" s="120"/>
    </row>
    <row r="146">
      <c r="B146" s="119"/>
      <c r="C146" s="120"/>
    </row>
    <row r="147">
      <c r="B147" s="119"/>
      <c r="C147" s="120"/>
    </row>
    <row r="148">
      <c r="B148" s="119"/>
      <c r="C148" s="120"/>
    </row>
    <row r="149">
      <c r="B149" s="119"/>
      <c r="C149" s="120"/>
    </row>
    <row r="150">
      <c r="B150" s="119"/>
      <c r="C150" s="120"/>
    </row>
    <row r="151">
      <c r="B151" s="119"/>
      <c r="C151" s="120"/>
    </row>
    <row r="152">
      <c r="B152" s="119"/>
      <c r="C152" s="120"/>
    </row>
    <row r="153">
      <c r="B153" s="119"/>
      <c r="C153" s="120"/>
    </row>
    <row r="154">
      <c r="B154" s="119"/>
      <c r="C154" s="120"/>
    </row>
    <row r="155">
      <c r="B155" s="119"/>
      <c r="C155" s="120"/>
    </row>
    <row r="156">
      <c r="B156" s="119"/>
      <c r="C156" s="120"/>
    </row>
    <row r="157">
      <c r="B157" s="119"/>
      <c r="C157" s="120"/>
    </row>
    <row r="158">
      <c r="B158" s="119"/>
      <c r="C158" s="120"/>
    </row>
    <row r="159">
      <c r="B159" s="119"/>
      <c r="C159" s="120"/>
    </row>
    <row r="160">
      <c r="B160" s="119"/>
      <c r="C160" s="120"/>
    </row>
    <row r="161">
      <c r="B161" s="119"/>
      <c r="C161" s="120"/>
    </row>
    <row r="162">
      <c r="B162" s="119"/>
      <c r="C162" s="120"/>
    </row>
    <row r="163">
      <c r="B163" s="119"/>
      <c r="C163" s="120"/>
    </row>
    <row r="164">
      <c r="B164" s="119"/>
      <c r="C164" s="120"/>
    </row>
    <row r="165">
      <c r="B165" s="119"/>
      <c r="C165" s="120"/>
    </row>
    <row r="166">
      <c r="B166" s="119"/>
      <c r="C166" s="120"/>
    </row>
    <row r="167">
      <c r="B167" s="119"/>
      <c r="C167" s="120"/>
    </row>
    <row r="168">
      <c r="B168" s="119"/>
      <c r="C168" s="120"/>
    </row>
    <row r="169">
      <c r="B169" s="119"/>
      <c r="C169" s="120"/>
    </row>
    <row r="170">
      <c r="B170" s="119"/>
      <c r="C170" s="120"/>
    </row>
    <row r="171">
      <c r="B171" s="119"/>
      <c r="C171" s="120"/>
    </row>
    <row r="172">
      <c r="B172" s="119"/>
      <c r="C172" s="120"/>
    </row>
    <row r="173">
      <c r="B173" s="119"/>
      <c r="C173" s="120"/>
    </row>
    <row r="174">
      <c r="B174" s="119"/>
      <c r="C174" s="120"/>
    </row>
    <row r="175">
      <c r="B175" s="119"/>
      <c r="C175" s="120"/>
    </row>
    <row r="176">
      <c r="B176" s="119"/>
      <c r="C176" s="120"/>
    </row>
    <row r="177">
      <c r="B177" s="119"/>
      <c r="C177" s="120"/>
    </row>
    <row r="178">
      <c r="B178" s="119"/>
      <c r="C178" s="120"/>
    </row>
    <row r="179">
      <c r="B179" s="119"/>
      <c r="C179" s="120"/>
    </row>
    <row r="180">
      <c r="B180" s="119"/>
      <c r="C180" s="120"/>
    </row>
    <row r="181">
      <c r="B181" s="119"/>
      <c r="C181" s="120"/>
    </row>
    <row r="182">
      <c r="B182" s="119"/>
      <c r="C182" s="120"/>
    </row>
    <row r="183">
      <c r="B183" s="119"/>
      <c r="C183" s="120"/>
    </row>
    <row r="184">
      <c r="B184" s="119"/>
      <c r="C184" s="120"/>
    </row>
    <row r="185">
      <c r="B185" s="119"/>
      <c r="C185" s="120"/>
    </row>
    <row r="186">
      <c r="B186" s="119"/>
      <c r="C186" s="120"/>
    </row>
    <row r="187">
      <c r="B187" s="119"/>
      <c r="C187" s="120"/>
    </row>
    <row r="188">
      <c r="B188" s="119"/>
      <c r="C188" s="120"/>
    </row>
    <row r="189">
      <c r="B189" s="119"/>
      <c r="C189" s="120"/>
    </row>
    <row r="190">
      <c r="B190" s="119"/>
      <c r="C190" s="120"/>
    </row>
    <row r="191">
      <c r="B191" s="119"/>
      <c r="C191" s="120"/>
    </row>
    <row r="192">
      <c r="B192" s="119"/>
      <c r="C192" s="120"/>
    </row>
    <row r="193">
      <c r="B193" s="119"/>
      <c r="C193" s="120"/>
    </row>
    <row r="194">
      <c r="B194" s="119"/>
      <c r="C194" s="120"/>
    </row>
    <row r="195">
      <c r="B195" s="119"/>
      <c r="C195" s="120"/>
    </row>
    <row r="196">
      <c r="B196" s="119"/>
      <c r="C196" s="120"/>
    </row>
    <row r="197">
      <c r="B197" s="119"/>
      <c r="C197" s="120"/>
    </row>
    <row r="198">
      <c r="B198" s="119"/>
      <c r="C198" s="120"/>
    </row>
    <row r="199">
      <c r="B199" s="119"/>
      <c r="C199" s="120"/>
    </row>
    <row r="200">
      <c r="B200" s="119"/>
      <c r="C200" s="120"/>
    </row>
    <row r="201">
      <c r="B201" s="119"/>
      <c r="C201" s="120"/>
    </row>
    <row r="202">
      <c r="B202" s="119"/>
      <c r="C202" s="120"/>
    </row>
    <row r="203">
      <c r="B203" s="119"/>
      <c r="C203" s="120"/>
    </row>
    <row r="204">
      <c r="B204" s="119"/>
      <c r="C204" s="120"/>
    </row>
    <row r="205">
      <c r="B205" s="119"/>
      <c r="C205" s="120"/>
    </row>
    <row r="206">
      <c r="B206" s="119"/>
      <c r="C206" s="120"/>
    </row>
    <row r="207">
      <c r="B207" s="119"/>
      <c r="C207" s="120"/>
    </row>
    <row r="208">
      <c r="B208" s="119"/>
      <c r="C208" s="120"/>
    </row>
    <row r="209">
      <c r="B209" s="119"/>
      <c r="C209" s="120"/>
    </row>
    <row r="210">
      <c r="B210" s="119"/>
      <c r="C210" s="120"/>
    </row>
    <row r="211">
      <c r="B211" s="119"/>
      <c r="C211" s="120"/>
    </row>
    <row r="212">
      <c r="B212" s="119"/>
      <c r="C212" s="120"/>
    </row>
    <row r="213">
      <c r="B213" s="119"/>
      <c r="C213" s="120"/>
    </row>
    <row r="214">
      <c r="B214" s="119"/>
      <c r="C214" s="120"/>
    </row>
    <row r="215">
      <c r="B215" s="119"/>
      <c r="C215" s="120"/>
    </row>
    <row r="216">
      <c r="B216" s="119"/>
      <c r="C216" s="120"/>
    </row>
    <row r="217">
      <c r="B217" s="119"/>
      <c r="C217" s="120"/>
    </row>
    <row r="218">
      <c r="B218" s="119"/>
      <c r="C218" s="120"/>
    </row>
    <row r="219">
      <c r="B219" s="119"/>
      <c r="C219" s="120"/>
    </row>
    <row r="220">
      <c r="B220" s="119"/>
      <c r="C220" s="120"/>
    </row>
    <row r="221">
      <c r="B221" s="119"/>
      <c r="C221" s="120"/>
    </row>
    <row r="222">
      <c r="B222" s="119"/>
      <c r="C222" s="120"/>
    </row>
    <row r="223">
      <c r="B223" s="119"/>
      <c r="C223" s="120"/>
    </row>
    <row r="224">
      <c r="B224" s="119"/>
      <c r="C224" s="120"/>
    </row>
    <row r="225">
      <c r="B225" s="119"/>
      <c r="C225" s="120"/>
    </row>
    <row r="226">
      <c r="B226" s="119"/>
      <c r="C226" s="120"/>
    </row>
    <row r="227">
      <c r="B227" s="119"/>
      <c r="C227" s="120"/>
    </row>
    <row r="228">
      <c r="B228" s="119"/>
      <c r="C228" s="120"/>
    </row>
    <row r="229">
      <c r="B229" s="119"/>
      <c r="C229" s="120"/>
    </row>
    <row r="230">
      <c r="B230" s="119"/>
      <c r="C230" s="120"/>
    </row>
    <row r="231">
      <c r="B231" s="119"/>
      <c r="C231" s="120"/>
    </row>
    <row r="232">
      <c r="B232" s="119"/>
      <c r="C232" s="120"/>
    </row>
    <row r="233">
      <c r="B233" s="119"/>
      <c r="C233" s="120"/>
    </row>
    <row r="234">
      <c r="B234" s="119"/>
      <c r="C234" s="120"/>
    </row>
    <row r="235">
      <c r="B235" s="119"/>
      <c r="C235" s="120"/>
    </row>
    <row r="236">
      <c r="B236" s="119"/>
      <c r="C236" s="120"/>
    </row>
    <row r="237">
      <c r="B237" s="119"/>
      <c r="C237" s="120"/>
    </row>
    <row r="238">
      <c r="B238" s="119"/>
      <c r="C238" s="120"/>
    </row>
    <row r="239">
      <c r="B239" s="119"/>
      <c r="C239" s="120"/>
    </row>
    <row r="240">
      <c r="B240" s="119"/>
      <c r="C240" s="120"/>
    </row>
    <row r="241">
      <c r="B241" s="119"/>
      <c r="C241" s="120"/>
    </row>
    <row r="242">
      <c r="B242" s="119"/>
      <c r="C242" s="120"/>
    </row>
    <row r="243">
      <c r="B243" s="119"/>
      <c r="C243" s="120"/>
    </row>
    <row r="244">
      <c r="B244" s="119"/>
      <c r="C244" s="120"/>
    </row>
    <row r="245">
      <c r="B245" s="119"/>
      <c r="C245" s="120"/>
    </row>
    <row r="246">
      <c r="B246" s="119"/>
      <c r="C246" s="120"/>
    </row>
    <row r="247">
      <c r="B247" s="119"/>
      <c r="C247" s="120"/>
    </row>
    <row r="248">
      <c r="B248" s="119"/>
      <c r="C248" s="120"/>
    </row>
    <row r="249">
      <c r="B249" s="119"/>
      <c r="C249" s="120"/>
    </row>
    <row r="250">
      <c r="B250" s="119"/>
      <c r="C250" s="120"/>
    </row>
    <row r="251">
      <c r="B251" s="119"/>
      <c r="C251" s="120"/>
    </row>
    <row r="252">
      <c r="B252" s="119"/>
      <c r="C252" s="120"/>
    </row>
    <row r="253">
      <c r="B253" s="119"/>
      <c r="C253" s="120"/>
    </row>
    <row r="254">
      <c r="B254" s="119"/>
      <c r="C254" s="120"/>
    </row>
    <row r="255">
      <c r="B255" s="119"/>
      <c r="C255" s="120"/>
    </row>
    <row r="256">
      <c r="B256" s="119"/>
      <c r="C256" s="120"/>
    </row>
    <row r="257">
      <c r="B257" s="119"/>
      <c r="C257" s="120"/>
    </row>
    <row r="258">
      <c r="B258" s="119"/>
      <c r="C258" s="120"/>
    </row>
    <row r="259">
      <c r="B259" s="119"/>
      <c r="C259" s="120"/>
    </row>
    <row r="260">
      <c r="B260" s="119"/>
      <c r="C260" s="120"/>
    </row>
    <row r="261">
      <c r="B261" s="119"/>
      <c r="C261" s="120"/>
    </row>
    <row r="262">
      <c r="B262" s="119"/>
      <c r="C262" s="120"/>
    </row>
    <row r="263">
      <c r="B263" s="119"/>
      <c r="C263" s="120"/>
    </row>
    <row r="264">
      <c r="B264" s="119"/>
      <c r="C264" s="120"/>
    </row>
    <row r="265">
      <c r="B265" s="119"/>
      <c r="C265" s="120"/>
    </row>
    <row r="266">
      <c r="B266" s="119"/>
      <c r="C266" s="120"/>
    </row>
    <row r="267">
      <c r="B267" s="119"/>
      <c r="C267" s="120"/>
    </row>
    <row r="268">
      <c r="B268" s="119"/>
      <c r="C268" s="120"/>
    </row>
    <row r="269">
      <c r="B269" s="119"/>
      <c r="C269" s="120"/>
    </row>
    <row r="270">
      <c r="B270" s="119"/>
      <c r="C270" s="120"/>
    </row>
    <row r="271">
      <c r="B271" s="119"/>
      <c r="C271" s="120"/>
    </row>
    <row r="272">
      <c r="B272" s="119"/>
      <c r="C272" s="120"/>
    </row>
    <row r="273">
      <c r="B273" s="119"/>
      <c r="C273" s="120"/>
    </row>
    <row r="274">
      <c r="B274" s="119"/>
      <c r="C274" s="120"/>
    </row>
    <row r="275">
      <c r="B275" s="119"/>
      <c r="C275" s="120"/>
    </row>
    <row r="276">
      <c r="B276" s="119"/>
      <c r="C276" s="120"/>
    </row>
    <row r="277">
      <c r="B277" s="119"/>
      <c r="C277" s="120"/>
    </row>
    <row r="278">
      <c r="B278" s="119"/>
      <c r="C278" s="120"/>
    </row>
    <row r="279">
      <c r="B279" s="119"/>
      <c r="C279" s="120"/>
    </row>
    <row r="280">
      <c r="B280" s="119"/>
      <c r="C280" s="120"/>
    </row>
    <row r="281">
      <c r="B281" s="119"/>
      <c r="C281" s="120"/>
    </row>
    <row r="282">
      <c r="B282" s="119"/>
      <c r="C282" s="120"/>
    </row>
    <row r="283">
      <c r="B283" s="119"/>
      <c r="C283" s="120"/>
    </row>
    <row r="284">
      <c r="B284" s="119"/>
      <c r="C284" s="120"/>
    </row>
    <row r="285">
      <c r="B285" s="119"/>
      <c r="C285" s="120"/>
    </row>
    <row r="286">
      <c r="B286" s="119"/>
      <c r="C286" s="120"/>
    </row>
    <row r="287">
      <c r="B287" s="119"/>
      <c r="C287" s="120"/>
    </row>
    <row r="288">
      <c r="B288" s="119"/>
      <c r="C288" s="120"/>
    </row>
    <row r="289">
      <c r="B289" s="119"/>
      <c r="C289" s="120"/>
    </row>
    <row r="290">
      <c r="B290" s="119"/>
      <c r="C290" s="120"/>
    </row>
    <row r="291">
      <c r="B291" s="119"/>
      <c r="C291" s="120"/>
    </row>
    <row r="292">
      <c r="B292" s="119"/>
      <c r="C292" s="120"/>
    </row>
    <row r="293">
      <c r="B293" s="119"/>
      <c r="C293" s="120"/>
    </row>
    <row r="294">
      <c r="B294" s="119"/>
      <c r="C294" s="120"/>
    </row>
    <row r="295">
      <c r="B295" s="119"/>
      <c r="C295" s="120"/>
    </row>
    <row r="296">
      <c r="B296" s="119"/>
      <c r="C296" s="120"/>
    </row>
    <row r="297">
      <c r="B297" s="119"/>
      <c r="C297" s="120"/>
    </row>
    <row r="298">
      <c r="B298" s="119"/>
      <c r="C298" s="120"/>
    </row>
    <row r="299">
      <c r="B299" s="119"/>
      <c r="C299" s="120"/>
    </row>
    <row r="300">
      <c r="B300" s="119"/>
      <c r="C300" s="120"/>
    </row>
    <row r="301">
      <c r="B301" s="119"/>
      <c r="C301" s="120"/>
    </row>
    <row r="302">
      <c r="B302" s="119"/>
      <c r="C302" s="120"/>
    </row>
    <row r="303">
      <c r="B303" s="119"/>
      <c r="C303" s="120"/>
    </row>
    <row r="304">
      <c r="B304" s="119"/>
      <c r="C304" s="120"/>
    </row>
    <row r="305">
      <c r="B305" s="119"/>
      <c r="C305" s="120"/>
    </row>
    <row r="306">
      <c r="B306" s="119"/>
      <c r="C306" s="120"/>
    </row>
    <row r="307">
      <c r="B307" s="119"/>
      <c r="C307" s="120"/>
    </row>
    <row r="308">
      <c r="B308" s="119"/>
      <c r="C308" s="120"/>
    </row>
    <row r="309">
      <c r="B309" s="119"/>
      <c r="C309" s="120"/>
    </row>
    <row r="310">
      <c r="B310" s="119"/>
      <c r="C310" s="120"/>
    </row>
    <row r="311">
      <c r="B311" s="119"/>
      <c r="C311" s="120"/>
    </row>
    <row r="312">
      <c r="B312" s="119"/>
      <c r="C312" s="120"/>
    </row>
    <row r="313">
      <c r="B313" s="119"/>
      <c r="C313" s="120"/>
    </row>
    <row r="314">
      <c r="B314" s="119"/>
      <c r="C314" s="120"/>
    </row>
    <row r="315">
      <c r="B315" s="119"/>
      <c r="C315" s="120"/>
    </row>
    <row r="316">
      <c r="B316" s="119"/>
      <c r="C316" s="120"/>
    </row>
    <row r="317">
      <c r="B317" s="119"/>
      <c r="C317" s="120"/>
    </row>
    <row r="318">
      <c r="B318" s="119"/>
      <c r="C318" s="120"/>
    </row>
    <row r="319">
      <c r="B319" s="119"/>
      <c r="C319" s="120"/>
    </row>
    <row r="320">
      <c r="B320" s="119"/>
      <c r="C320" s="120"/>
    </row>
    <row r="321">
      <c r="B321" s="119"/>
      <c r="C321" s="120"/>
    </row>
    <row r="322">
      <c r="B322" s="119"/>
      <c r="C322" s="120"/>
    </row>
    <row r="323">
      <c r="B323" s="119"/>
      <c r="C323" s="120"/>
    </row>
    <row r="324">
      <c r="B324" s="119"/>
      <c r="C324" s="120"/>
    </row>
    <row r="325">
      <c r="B325" s="119"/>
      <c r="C325" s="120"/>
    </row>
    <row r="326">
      <c r="B326" s="119"/>
      <c r="C326" s="120"/>
    </row>
    <row r="327">
      <c r="B327" s="119"/>
      <c r="C327" s="120"/>
    </row>
    <row r="328">
      <c r="B328" s="119"/>
      <c r="C328" s="120"/>
    </row>
    <row r="329">
      <c r="B329" s="119"/>
      <c r="C329" s="120"/>
    </row>
    <row r="330">
      <c r="B330" s="119"/>
      <c r="C330" s="120"/>
    </row>
    <row r="331">
      <c r="B331" s="119"/>
      <c r="C331" s="120"/>
    </row>
    <row r="332">
      <c r="B332" s="119"/>
      <c r="C332" s="120"/>
    </row>
    <row r="333">
      <c r="B333" s="119"/>
      <c r="C333" s="120"/>
    </row>
    <row r="334">
      <c r="B334" s="119"/>
      <c r="C334" s="120"/>
    </row>
    <row r="335">
      <c r="B335" s="119"/>
      <c r="C335" s="120"/>
    </row>
    <row r="336">
      <c r="B336" s="119"/>
      <c r="C336" s="120"/>
    </row>
    <row r="337">
      <c r="B337" s="119"/>
      <c r="C337" s="120"/>
    </row>
    <row r="338">
      <c r="B338" s="119"/>
      <c r="C338" s="120"/>
    </row>
    <row r="339">
      <c r="B339" s="119"/>
      <c r="C339" s="120"/>
    </row>
    <row r="340">
      <c r="B340" s="119"/>
      <c r="C340" s="120"/>
    </row>
    <row r="341">
      <c r="B341" s="119"/>
      <c r="C341" s="120"/>
    </row>
    <row r="342">
      <c r="B342" s="119"/>
      <c r="C342" s="120"/>
    </row>
    <row r="343">
      <c r="B343" s="119"/>
      <c r="C343" s="120"/>
    </row>
    <row r="344">
      <c r="B344" s="119"/>
      <c r="C344" s="120"/>
    </row>
    <row r="345">
      <c r="B345" s="119"/>
      <c r="C345" s="120"/>
    </row>
    <row r="346">
      <c r="B346" s="119"/>
      <c r="C346" s="120"/>
    </row>
    <row r="347">
      <c r="B347" s="119"/>
      <c r="C347" s="120"/>
    </row>
    <row r="348">
      <c r="B348" s="119"/>
      <c r="C348" s="120"/>
    </row>
    <row r="349">
      <c r="B349" s="119"/>
      <c r="C349" s="120"/>
    </row>
    <row r="350">
      <c r="B350" s="119"/>
      <c r="C350" s="120"/>
    </row>
    <row r="351">
      <c r="B351" s="119"/>
      <c r="C351" s="120"/>
    </row>
    <row r="352">
      <c r="B352" s="119"/>
      <c r="C352" s="120"/>
    </row>
    <row r="353">
      <c r="B353" s="119"/>
      <c r="C353" s="120"/>
    </row>
    <row r="354">
      <c r="B354" s="119"/>
      <c r="C354" s="120"/>
    </row>
    <row r="355">
      <c r="B355" s="119"/>
      <c r="C355" s="120"/>
    </row>
    <row r="356">
      <c r="B356" s="119"/>
      <c r="C356" s="120"/>
    </row>
    <row r="357">
      <c r="B357" s="119"/>
      <c r="C357" s="120"/>
    </row>
    <row r="358">
      <c r="B358" s="119"/>
      <c r="C358" s="120"/>
    </row>
    <row r="359">
      <c r="B359" s="119"/>
      <c r="C359" s="120"/>
    </row>
    <row r="360">
      <c r="B360" s="119"/>
      <c r="C360" s="120"/>
    </row>
    <row r="361">
      <c r="B361" s="119"/>
      <c r="C361" s="120"/>
    </row>
    <row r="362">
      <c r="B362" s="119"/>
      <c r="C362" s="120"/>
    </row>
    <row r="363">
      <c r="B363" s="119"/>
      <c r="C363" s="120"/>
    </row>
    <row r="364">
      <c r="B364" s="119"/>
      <c r="C364" s="120"/>
    </row>
    <row r="365">
      <c r="B365" s="119"/>
      <c r="C365" s="120"/>
    </row>
    <row r="366">
      <c r="B366" s="119"/>
      <c r="C366" s="120"/>
    </row>
    <row r="367">
      <c r="B367" s="119"/>
      <c r="C367" s="120"/>
    </row>
    <row r="368">
      <c r="B368" s="119"/>
      <c r="C368" s="120"/>
    </row>
    <row r="369">
      <c r="B369" s="119"/>
      <c r="C369" s="120"/>
    </row>
    <row r="370">
      <c r="B370" s="119"/>
      <c r="C370" s="120"/>
    </row>
    <row r="371">
      <c r="B371" s="119"/>
      <c r="C371" s="120"/>
    </row>
    <row r="372">
      <c r="B372" s="119"/>
      <c r="C372" s="120"/>
    </row>
    <row r="373">
      <c r="B373" s="119"/>
      <c r="C373" s="120"/>
    </row>
    <row r="374">
      <c r="B374" s="119"/>
      <c r="C374" s="120"/>
    </row>
    <row r="375">
      <c r="B375" s="119"/>
      <c r="C375" s="120"/>
    </row>
    <row r="376">
      <c r="B376" s="119"/>
      <c r="C376" s="120"/>
    </row>
    <row r="377">
      <c r="B377" s="119"/>
      <c r="C377" s="120"/>
    </row>
    <row r="378">
      <c r="B378" s="119"/>
      <c r="C378" s="120"/>
    </row>
    <row r="379">
      <c r="B379" s="119"/>
      <c r="C379" s="120"/>
    </row>
    <row r="380">
      <c r="B380" s="119"/>
      <c r="C380" s="120"/>
    </row>
    <row r="381">
      <c r="B381" s="119"/>
      <c r="C381" s="120"/>
    </row>
    <row r="382">
      <c r="B382" s="119"/>
      <c r="C382" s="120"/>
    </row>
    <row r="383">
      <c r="B383" s="119"/>
      <c r="C383" s="120"/>
    </row>
    <row r="384">
      <c r="B384" s="119"/>
      <c r="C384" s="120"/>
    </row>
    <row r="385">
      <c r="B385" s="119"/>
      <c r="C385" s="120"/>
    </row>
    <row r="386">
      <c r="B386" s="119"/>
      <c r="C386" s="120"/>
    </row>
    <row r="387">
      <c r="B387" s="119"/>
      <c r="C387" s="120"/>
    </row>
    <row r="388">
      <c r="B388" s="119"/>
      <c r="C388" s="120"/>
    </row>
    <row r="389">
      <c r="B389" s="119"/>
      <c r="C389" s="120"/>
    </row>
    <row r="390">
      <c r="B390" s="119"/>
      <c r="C390" s="120"/>
    </row>
    <row r="391">
      <c r="B391" s="119"/>
      <c r="C391" s="120"/>
    </row>
    <row r="392">
      <c r="B392" s="119"/>
      <c r="C392" s="120"/>
    </row>
    <row r="393">
      <c r="B393" s="119"/>
      <c r="C393" s="120"/>
    </row>
    <row r="394">
      <c r="B394" s="119"/>
      <c r="C394" s="120"/>
    </row>
    <row r="395">
      <c r="B395" s="119"/>
      <c r="C395" s="120"/>
    </row>
    <row r="396">
      <c r="B396" s="119"/>
      <c r="C396" s="120"/>
    </row>
    <row r="397">
      <c r="B397" s="119"/>
      <c r="C397" s="120"/>
    </row>
    <row r="398">
      <c r="B398" s="119"/>
      <c r="C398" s="120"/>
    </row>
    <row r="399">
      <c r="B399" s="119"/>
      <c r="C399" s="120"/>
    </row>
    <row r="400">
      <c r="B400" s="119"/>
      <c r="C400" s="120"/>
    </row>
    <row r="401">
      <c r="B401" s="119"/>
      <c r="C401" s="120"/>
    </row>
    <row r="402">
      <c r="B402" s="119"/>
      <c r="C402" s="120"/>
    </row>
    <row r="403">
      <c r="B403" s="119"/>
      <c r="C403" s="120"/>
    </row>
    <row r="404">
      <c r="B404" s="119"/>
      <c r="C404" s="120"/>
    </row>
    <row r="405">
      <c r="B405" s="119"/>
      <c r="C405" s="120"/>
    </row>
    <row r="406">
      <c r="B406" s="119"/>
      <c r="C406" s="120"/>
    </row>
    <row r="407">
      <c r="B407" s="119"/>
      <c r="C407" s="120"/>
    </row>
    <row r="408">
      <c r="B408" s="119"/>
      <c r="C408" s="120"/>
    </row>
    <row r="409">
      <c r="B409" s="119"/>
      <c r="C409" s="120"/>
    </row>
    <row r="410">
      <c r="B410" s="119"/>
      <c r="C410" s="120"/>
    </row>
    <row r="411">
      <c r="B411" s="119"/>
      <c r="C411" s="120"/>
    </row>
    <row r="412">
      <c r="B412" s="119"/>
      <c r="C412" s="120"/>
    </row>
    <row r="413">
      <c r="B413" s="119"/>
      <c r="C413" s="120"/>
    </row>
    <row r="414">
      <c r="B414" s="119"/>
      <c r="C414" s="120"/>
    </row>
    <row r="415">
      <c r="B415" s="119"/>
      <c r="C415" s="120"/>
    </row>
    <row r="416">
      <c r="B416" s="119"/>
      <c r="C416" s="120"/>
    </row>
    <row r="417">
      <c r="B417" s="119"/>
      <c r="C417" s="120"/>
    </row>
    <row r="418">
      <c r="B418" s="119"/>
      <c r="C418" s="120"/>
    </row>
    <row r="419">
      <c r="B419" s="119"/>
      <c r="C419" s="120"/>
    </row>
    <row r="420">
      <c r="B420" s="119"/>
      <c r="C420" s="120"/>
    </row>
    <row r="421">
      <c r="B421" s="119"/>
      <c r="C421" s="120"/>
    </row>
    <row r="422">
      <c r="B422" s="119"/>
      <c r="C422" s="120"/>
    </row>
    <row r="423">
      <c r="B423" s="119"/>
      <c r="C423" s="120"/>
    </row>
    <row r="424">
      <c r="B424" s="119"/>
      <c r="C424" s="120"/>
    </row>
    <row r="425">
      <c r="B425" s="119"/>
      <c r="C425" s="120"/>
    </row>
    <row r="426">
      <c r="B426" s="119"/>
      <c r="C426" s="120"/>
    </row>
    <row r="427">
      <c r="B427" s="119"/>
      <c r="C427" s="120"/>
    </row>
    <row r="428">
      <c r="B428" s="119"/>
      <c r="C428" s="120"/>
    </row>
    <row r="429">
      <c r="B429" s="119"/>
      <c r="C429" s="120"/>
    </row>
    <row r="430">
      <c r="B430" s="119"/>
      <c r="C430" s="120"/>
    </row>
    <row r="431">
      <c r="B431" s="119"/>
      <c r="C431" s="120"/>
    </row>
    <row r="432">
      <c r="B432" s="119"/>
      <c r="C432" s="120"/>
    </row>
    <row r="433">
      <c r="B433" s="119"/>
      <c r="C433" s="120"/>
    </row>
    <row r="434">
      <c r="B434" s="119"/>
      <c r="C434" s="120"/>
    </row>
    <row r="435">
      <c r="B435" s="119"/>
      <c r="C435" s="120"/>
    </row>
    <row r="436">
      <c r="B436" s="119"/>
      <c r="C436" s="120"/>
    </row>
    <row r="437">
      <c r="B437" s="119"/>
      <c r="C437" s="120"/>
    </row>
    <row r="438">
      <c r="B438" s="119"/>
      <c r="C438" s="120"/>
    </row>
    <row r="439">
      <c r="B439" s="119"/>
      <c r="C439" s="120"/>
    </row>
    <row r="440">
      <c r="B440" s="119"/>
      <c r="C440" s="120"/>
    </row>
    <row r="441">
      <c r="B441" s="119"/>
      <c r="C441" s="120"/>
    </row>
    <row r="442">
      <c r="B442" s="119"/>
      <c r="C442" s="120"/>
    </row>
    <row r="443">
      <c r="B443" s="119"/>
      <c r="C443" s="120"/>
    </row>
    <row r="444">
      <c r="B444" s="119"/>
      <c r="C444" s="120"/>
    </row>
    <row r="445">
      <c r="B445" s="119"/>
      <c r="C445" s="120"/>
    </row>
    <row r="446">
      <c r="B446" s="119"/>
      <c r="C446" s="120"/>
    </row>
    <row r="447">
      <c r="B447" s="119"/>
      <c r="C447" s="120"/>
    </row>
    <row r="448">
      <c r="B448" s="119"/>
      <c r="C448" s="120"/>
    </row>
    <row r="449">
      <c r="B449" s="119"/>
      <c r="C449" s="120"/>
    </row>
    <row r="450">
      <c r="B450" s="119"/>
      <c r="C450" s="120"/>
    </row>
    <row r="451">
      <c r="B451" s="119"/>
      <c r="C451" s="120"/>
    </row>
    <row r="452">
      <c r="B452" s="119"/>
      <c r="C452" s="120"/>
    </row>
    <row r="453">
      <c r="B453" s="119"/>
      <c r="C453" s="120"/>
    </row>
    <row r="454">
      <c r="B454" s="119"/>
      <c r="C454" s="120"/>
    </row>
    <row r="455">
      <c r="B455" s="119"/>
      <c r="C455" s="120"/>
    </row>
    <row r="456">
      <c r="B456" s="119"/>
      <c r="C456" s="120"/>
    </row>
    <row r="457">
      <c r="B457" s="119"/>
      <c r="C457" s="120"/>
    </row>
    <row r="458">
      <c r="B458" s="119"/>
      <c r="C458" s="120"/>
    </row>
    <row r="459">
      <c r="B459" s="119"/>
      <c r="C459" s="120"/>
    </row>
    <row r="460">
      <c r="B460" s="119"/>
      <c r="C460" s="120"/>
    </row>
    <row r="461">
      <c r="B461" s="119"/>
      <c r="C461" s="120"/>
    </row>
    <row r="462">
      <c r="B462" s="119"/>
      <c r="C462" s="120"/>
    </row>
    <row r="463">
      <c r="B463" s="119"/>
      <c r="C463" s="120"/>
    </row>
    <row r="464">
      <c r="B464" s="119"/>
      <c r="C464" s="120"/>
    </row>
    <row r="465">
      <c r="B465" s="119"/>
      <c r="C465" s="120"/>
    </row>
    <row r="466">
      <c r="B466" s="119"/>
      <c r="C466" s="120"/>
    </row>
    <row r="467">
      <c r="B467" s="119"/>
      <c r="C467" s="120"/>
    </row>
    <row r="468">
      <c r="B468" s="119"/>
      <c r="C468" s="120"/>
    </row>
    <row r="469">
      <c r="B469" s="119"/>
      <c r="C469" s="120"/>
    </row>
    <row r="470">
      <c r="B470" s="119"/>
      <c r="C470" s="120"/>
    </row>
    <row r="471">
      <c r="B471" s="119"/>
      <c r="C471" s="120"/>
    </row>
    <row r="472">
      <c r="B472" s="119"/>
      <c r="C472" s="120"/>
    </row>
    <row r="473">
      <c r="B473" s="119"/>
      <c r="C473" s="120"/>
    </row>
    <row r="474">
      <c r="B474" s="119"/>
      <c r="C474" s="120"/>
    </row>
    <row r="475">
      <c r="B475" s="119"/>
      <c r="C475" s="120"/>
    </row>
    <row r="476">
      <c r="B476" s="119"/>
      <c r="C476" s="120"/>
    </row>
    <row r="477">
      <c r="B477" s="119"/>
      <c r="C477" s="120"/>
    </row>
    <row r="478">
      <c r="B478" s="119"/>
      <c r="C478" s="120"/>
    </row>
    <row r="479">
      <c r="B479" s="119"/>
      <c r="C479" s="120"/>
    </row>
    <row r="480">
      <c r="B480" s="119"/>
      <c r="C480" s="120"/>
    </row>
    <row r="481">
      <c r="B481" s="119"/>
      <c r="C481" s="120"/>
    </row>
    <row r="482">
      <c r="B482" s="119"/>
      <c r="C482" s="120"/>
    </row>
    <row r="483">
      <c r="B483" s="119"/>
      <c r="C483" s="120"/>
    </row>
    <row r="484">
      <c r="B484" s="119"/>
      <c r="C484" s="120"/>
    </row>
    <row r="485">
      <c r="B485" s="119"/>
      <c r="C485" s="120"/>
    </row>
    <row r="486">
      <c r="B486" s="119"/>
      <c r="C486" s="120"/>
    </row>
    <row r="487">
      <c r="B487" s="119"/>
      <c r="C487" s="120"/>
    </row>
    <row r="488">
      <c r="B488" s="119"/>
      <c r="C488" s="120"/>
    </row>
    <row r="489">
      <c r="B489" s="119"/>
      <c r="C489" s="120"/>
    </row>
    <row r="490">
      <c r="B490" s="119"/>
      <c r="C490" s="120"/>
    </row>
    <row r="491">
      <c r="B491" s="119"/>
      <c r="C491" s="120"/>
    </row>
    <row r="492">
      <c r="B492" s="119"/>
      <c r="C492" s="120"/>
    </row>
    <row r="493">
      <c r="B493" s="119"/>
      <c r="C493" s="120"/>
    </row>
    <row r="494">
      <c r="B494" s="119"/>
      <c r="C494" s="120"/>
    </row>
    <row r="495">
      <c r="B495" s="119"/>
      <c r="C495" s="120"/>
    </row>
    <row r="496">
      <c r="B496" s="119"/>
      <c r="C496" s="120"/>
    </row>
    <row r="497">
      <c r="B497" s="119"/>
      <c r="C497" s="120"/>
    </row>
    <row r="498">
      <c r="B498" s="119"/>
      <c r="C498" s="120"/>
    </row>
    <row r="499">
      <c r="B499" s="119"/>
      <c r="C499" s="120"/>
    </row>
    <row r="500">
      <c r="B500" s="119"/>
      <c r="C500" s="120"/>
    </row>
    <row r="501">
      <c r="B501" s="119"/>
      <c r="C501" s="120"/>
    </row>
    <row r="502">
      <c r="B502" s="119"/>
      <c r="C502" s="120"/>
    </row>
    <row r="503">
      <c r="B503" s="119"/>
      <c r="C503" s="120"/>
    </row>
    <row r="504">
      <c r="B504" s="119"/>
      <c r="C504" s="120"/>
    </row>
    <row r="505">
      <c r="B505" s="119"/>
      <c r="C505" s="120"/>
    </row>
    <row r="506">
      <c r="B506" s="119"/>
      <c r="C506" s="120"/>
    </row>
    <row r="507">
      <c r="B507" s="119"/>
      <c r="C507" s="120"/>
    </row>
    <row r="508">
      <c r="B508" s="119"/>
      <c r="C508" s="120"/>
    </row>
    <row r="509">
      <c r="B509" s="119"/>
      <c r="C509" s="120"/>
    </row>
    <row r="510">
      <c r="B510" s="119"/>
      <c r="C510" s="120"/>
    </row>
    <row r="511">
      <c r="B511" s="119"/>
      <c r="C511" s="120"/>
    </row>
    <row r="512">
      <c r="B512" s="119"/>
      <c r="C512" s="120"/>
    </row>
    <row r="513">
      <c r="B513" s="119"/>
      <c r="C513" s="120"/>
    </row>
    <row r="514">
      <c r="B514" s="119"/>
      <c r="C514" s="120"/>
    </row>
    <row r="515">
      <c r="B515" s="119"/>
      <c r="C515" s="120"/>
    </row>
    <row r="516">
      <c r="B516" s="119"/>
      <c r="C516" s="120"/>
    </row>
    <row r="517">
      <c r="B517" s="119"/>
      <c r="C517" s="120"/>
    </row>
    <row r="518">
      <c r="B518" s="119"/>
      <c r="C518" s="120"/>
    </row>
    <row r="519">
      <c r="B519" s="119"/>
      <c r="C519" s="120"/>
    </row>
    <row r="520">
      <c r="B520" s="119"/>
      <c r="C520" s="120"/>
    </row>
    <row r="521">
      <c r="B521" s="119"/>
      <c r="C521" s="120"/>
    </row>
    <row r="522">
      <c r="B522" s="119"/>
      <c r="C522" s="120"/>
    </row>
    <row r="523">
      <c r="B523" s="119"/>
      <c r="C523" s="120"/>
    </row>
    <row r="524">
      <c r="B524" s="119"/>
      <c r="C524" s="120"/>
    </row>
    <row r="525">
      <c r="B525" s="119"/>
      <c r="C525" s="120"/>
    </row>
    <row r="526">
      <c r="B526" s="119"/>
      <c r="C526" s="120"/>
    </row>
    <row r="527">
      <c r="B527" s="119"/>
      <c r="C527" s="120"/>
    </row>
    <row r="528">
      <c r="B528" s="119"/>
      <c r="C528" s="120"/>
    </row>
    <row r="529">
      <c r="B529" s="119"/>
      <c r="C529" s="120"/>
    </row>
    <row r="530">
      <c r="B530" s="119"/>
      <c r="C530" s="120"/>
    </row>
    <row r="531">
      <c r="B531" s="119"/>
      <c r="C531" s="120"/>
    </row>
    <row r="532">
      <c r="B532" s="119"/>
      <c r="C532" s="120"/>
    </row>
    <row r="533">
      <c r="B533" s="119"/>
      <c r="C533" s="120"/>
    </row>
    <row r="534">
      <c r="B534" s="119"/>
      <c r="C534" s="120"/>
    </row>
    <row r="535">
      <c r="B535" s="119"/>
      <c r="C535" s="120"/>
    </row>
    <row r="536">
      <c r="B536" s="119"/>
      <c r="C536" s="120"/>
    </row>
    <row r="537">
      <c r="B537" s="119"/>
      <c r="C537" s="120"/>
    </row>
    <row r="538">
      <c r="B538" s="119"/>
      <c r="C538" s="120"/>
    </row>
    <row r="539">
      <c r="B539" s="119"/>
      <c r="C539" s="120"/>
    </row>
    <row r="540">
      <c r="B540" s="119"/>
      <c r="C540" s="120"/>
    </row>
    <row r="541">
      <c r="B541" s="119"/>
      <c r="C541" s="120"/>
    </row>
    <row r="542">
      <c r="B542" s="119"/>
      <c r="C542" s="120"/>
    </row>
    <row r="543">
      <c r="B543" s="119"/>
      <c r="C543" s="120"/>
    </row>
    <row r="544">
      <c r="B544" s="119"/>
      <c r="C544" s="120"/>
    </row>
    <row r="545">
      <c r="B545" s="119"/>
      <c r="C545" s="120"/>
    </row>
    <row r="546">
      <c r="B546" s="119"/>
      <c r="C546" s="120"/>
    </row>
    <row r="547">
      <c r="B547" s="119"/>
      <c r="C547" s="120"/>
    </row>
    <row r="548">
      <c r="B548" s="119"/>
      <c r="C548" s="120"/>
    </row>
    <row r="549">
      <c r="B549" s="119"/>
      <c r="C549" s="120"/>
    </row>
    <row r="550">
      <c r="B550" s="119"/>
      <c r="C550" s="120"/>
    </row>
    <row r="551">
      <c r="B551" s="119"/>
      <c r="C551" s="120"/>
    </row>
    <row r="552">
      <c r="B552" s="119"/>
      <c r="C552" s="120"/>
    </row>
    <row r="553">
      <c r="B553" s="119"/>
      <c r="C553" s="120"/>
    </row>
    <row r="554">
      <c r="B554" s="119"/>
      <c r="C554" s="120"/>
    </row>
    <row r="555">
      <c r="B555" s="119"/>
      <c r="C555" s="120"/>
    </row>
    <row r="556">
      <c r="B556" s="119"/>
      <c r="C556" s="120"/>
    </row>
    <row r="557">
      <c r="B557" s="119"/>
      <c r="C557" s="120"/>
    </row>
    <row r="558">
      <c r="B558" s="119"/>
      <c r="C558" s="120"/>
    </row>
    <row r="559">
      <c r="B559" s="119"/>
      <c r="C559" s="120"/>
    </row>
    <row r="560">
      <c r="B560" s="119"/>
      <c r="C560" s="120"/>
    </row>
    <row r="561">
      <c r="B561" s="119"/>
      <c r="C561" s="120"/>
    </row>
    <row r="562">
      <c r="B562" s="119"/>
      <c r="C562" s="120"/>
    </row>
    <row r="563">
      <c r="B563" s="119"/>
      <c r="C563" s="120"/>
    </row>
    <row r="564">
      <c r="B564" s="119"/>
      <c r="C564" s="120"/>
    </row>
    <row r="565">
      <c r="B565" s="119"/>
      <c r="C565" s="120"/>
    </row>
    <row r="566">
      <c r="B566" s="119"/>
      <c r="C566" s="120"/>
    </row>
    <row r="567">
      <c r="B567" s="119"/>
      <c r="C567" s="120"/>
    </row>
    <row r="568">
      <c r="B568" s="119"/>
      <c r="C568" s="120"/>
    </row>
    <row r="569">
      <c r="B569" s="119"/>
      <c r="C569" s="120"/>
    </row>
    <row r="570">
      <c r="B570" s="119"/>
      <c r="C570" s="120"/>
    </row>
    <row r="571">
      <c r="B571" s="119"/>
      <c r="C571" s="120"/>
    </row>
    <row r="572">
      <c r="B572" s="119"/>
      <c r="C572" s="120"/>
    </row>
    <row r="573">
      <c r="B573" s="119"/>
      <c r="C573" s="120"/>
    </row>
    <row r="574">
      <c r="B574" s="119"/>
      <c r="C574" s="120"/>
    </row>
    <row r="575">
      <c r="B575" s="119"/>
      <c r="C575" s="120"/>
    </row>
    <row r="576">
      <c r="B576" s="119"/>
      <c r="C576" s="120"/>
    </row>
    <row r="577">
      <c r="B577" s="119"/>
      <c r="C577" s="120"/>
    </row>
    <row r="578">
      <c r="B578" s="119"/>
      <c r="C578" s="120"/>
    </row>
    <row r="579">
      <c r="B579" s="119"/>
      <c r="C579" s="120"/>
    </row>
    <row r="580">
      <c r="B580" s="119"/>
      <c r="C580" s="120"/>
    </row>
    <row r="581">
      <c r="B581" s="119"/>
      <c r="C581" s="120"/>
    </row>
    <row r="582">
      <c r="B582" s="119"/>
      <c r="C582" s="120"/>
    </row>
    <row r="583">
      <c r="B583" s="119"/>
      <c r="C583" s="120"/>
    </row>
    <row r="584">
      <c r="B584" s="119"/>
      <c r="C584" s="120"/>
    </row>
    <row r="585">
      <c r="B585" s="119"/>
      <c r="C585" s="120"/>
    </row>
    <row r="586">
      <c r="B586" s="119"/>
      <c r="C586" s="120"/>
    </row>
    <row r="587">
      <c r="B587" s="119"/>
      <c r="C587" s="120"/>
    </row>
    <row r="588">
      <c r="B588" s="119"/>
      <c r="C588" s="120"/>
    </row>
    <row r="589">
      <c r="B589" s="119"/>
      <c r="C589" s="120"/>
    </row>
    <row r="590">
      <c r="B590" s="119"/>
      <c r="C590" s="120"/>
    </row>
    <row r="591">
      <c r="B591" s="119"/>
      <c r="C591" s="120"/>
    </row>
    <row r="592">
      <c r="B592" s="119"/>
      <c r="C592" s="120"/>
    </row>
    <row r="593">
      <c r="B593" s="119"/>
      <c r="C593" s="120"/>
    </row>
    <row r="594">
      <c r="B594" s="119"/>
      <c r="C594" s="120"/>
    </row>
    <row r="595">
      <c r="B595" s="119"/>
      <c r="C595" s="120"/>
    </row>
    <row r="596">
      <c r="B596" s="119"/>
      <c r="C596" s="120"/>
    </row>
    <row r="597">
      <c r="B597" s="119"/>
      <c r="C597" s="120"/>
    </row>
    <row r="598">
      <c r="B598" s="119"/>
      <c r="C598" s="120"/>
    </row>
    <row r="599">
      <c r="B599" s="119"/>
      <c r="C599" s="120"/>
    </row>
    <row r="600">
      <c r="B600" s="119"/>
      <c r="C600" s="120"/>
    </row>
    <row r="601">
      <c r="B601" s="119"/>
      <c r="C601" s="120"/>
    </row>
    <row r="602">
      <c r="B602" s="119"/>
      <c r="C602" s="120"/>
    </row>
    <row r="603">
      <c r="B603" s="119"/>
      <c r="C603" s="120"/>
    </row>
    <row r="604">
      <c r="B604" s="119"/>
      <c r="C604" s="120"/>
    </row>
    <row r="605">
      <c r="B605" s="119"/>
      <c r="C605" s="120"/>
    </row>
    <row r="606">
      <c r="B606" s="119"/>
      <c r="C606" s="120"/>
    </row>
    <row r="607">
      <c r="B607" s="119"/>
      <c r="C607" s="120"/>
    </row>
    <row r="608">
      <c r="B608" s="119"/>
      <c r="C608" s="120"/>
    </row>
    <row r="609">
      <c r="B609" s="119"/>
      <c r="C609" s="120"/>
    </row>
    <row r="610">
      <c r="B610" s="119"/>
      <c r="C610" s="120"/>
    </row>
    <row r="611">
      <c r="B611" s="119"/>
      <c r="C611" s="120"/>
    </row>
    <row r="612">
      <c r="B612" s="119"/>
      <c r="C612" s="120"/>
    </row>
    <row r="613">
      <c r="B613" s="119"/>
      <c r="C613" s="120"/>
    </row>
    <row r="614">
      <c r="B614" s="119"/>
      <c r="C614" s="120"/>
    </row>
    <row r="615">
      <c r="B615" s="119"/>
      <c r="C615" s="120"/>
    </row>
    <row r="616">
      <c r="B616" s="119"/>
      <c r="C616" s="120"/>
    </row>
    <row r="617">
      <c r="B617" s="119"/>
      <c r="C617" s="120"/>
    </row>
    <row r="618">
      <c r="B618" s="119"/>
      <c r="C618" s="120"/>
    </row>
    <row r="619">
      <c r="B619" s="119"/>
      <c r="C619" s="120"/>
    </row>
    <row r="620">
      <c r="B620" s="119"/>
      <c r="C620" s="120"/>
    </row>
    <row r="621">
      <c r="B621" s="119"/>
      <c r="C621" s="120"/>
    </row>
    <row r="622">
      <c r="B622" s="119"/>
      <c r="C622" s="120"/>
    </row>
    <row r="623">
      <c r="B623" s="119"/>
      <c r="C623" s="120"/>
    </row>
    <row r="624">
      <c r="B624" s="119"/>
      <c r="C624" s="120"/>
    </row>
    <row r="625">
      <c r="B625" s="119"/>
      <c r="C625" s="120"/>
    </row>
    <row r="626">
      <c r="B626" s="119"/>
      <c r="C626" s="120"/>
    </row>
    <row r="627">
      <c r="B627" s="119"/>
      <c r="C627" s="120"/>
    </row>
    <row r="628">
      <c r="B628" s="119"/>
      <c r="C628" s="120"/>
    </row>
    <row r="629">
      <c r="B629" s="119"/>
      <c r="C629" s="120"/>
    </row>
    <row r="630">
      <c r="B630" s="119"/>
      <c r="C630" s="120"/>
    </row>
    <row r="631">
      <c r="B631" s="119"/>
      <c r="C631" s="120"/>
    </row>
    <row r="632">
      <c r="B632" s="119"/>
      <c r="C632" s="120"/>
    </row>
    <row r="633">
      <c r="B633" s="119"/>
      <c r="C633" s="120"/>
    </row>
    <row r="634">
      <c r="B634" s="119"/>
      <c r="C634" s="120"/>
    </row>
    <row r="635">
      <c r="B635" s="119"/>
      <c r="C635" s="120"/>
    </row>
    <row r="636">
      <c r="B636" s="119"/>
      <c r="C636" s="120"/>
    </row>
    <row r="637">
      <c r="B637" s="119"/>
      <c r="C637" s="120"/>
    </row>
    <row r="638">
      <c r="B638" s="119"/>
      <c r="C638" s="120"/>
    </row>
    <row r="639">
      <c r="B639" s="119"/>
      <c r="C639" s="120"/>
    </row>
    <row r="640">
      <c r="B640" s="119"/>
      <c r="C640" s="120"/>
    </row>
    <row r="641">
      <c r="B641" s="119"/>
      <c r="C641" s="120"/>
    </row>
    <row r="642">
      <c r="B642" s="119"/>
      <c r="C642" s="120"/>
    </row>
    <row r="643">
      <c r="B643" s="119"/>
      <c r="C643" s="120"/>
    </row>
    <row r="644">
      <c r="B644" s="119"/>
      <c r="C644" s="120"/>
    </row>
    <row r="645">
      <c r="B645" s="119"/>
      <c r="C645" s="120"/>
    </row>
    <row r="646">
      <c r="B646" s="119"/>
      <c r="C646" s="120"/>
    </row>
    <row r="647">
      <c r="B647" s="119"/>
      <c r="C647" s="120"/>
    </row>
    <row r="648">
      <c r="B648" s="119"/>
      <c r="C648" s="120"/>
    </row>
    <row r="649">
      <c r="B649" s="119"/>
      <c r="C649" s="120"/>
    </row>
    <row r="650">
      <c r="B650" s="119"/>
      <c r="C650" s="120"/>
    </row>
    <row r="651">
      <c r="B651" s="119"/>
      <c r="C651" s="120"/>
    </row>
    <row r="652">
      <c r="B652" s="119"/>
      <c r="C652" s="120"/>
    </row>
    <row r="653">
      <c r="B653" s="119"/>
      <c r="C653" s="120"/>
    </row>
    <row r="654">
      <c r="B654" s="119"/>
      <c r="C654" s="120"/>
    </row>
    <row r="655">
      <c r="B655" s="119"/>
      <c r="C655" s="120"/>
    </row>
    <row r="656">
      <c r="B656" s="119"/>
      <c r="C656" s="120"/>
    </row>
    <row r="657">
      <c r="B657" s="119"/>
      <c r="C657" s="120"/>
    </row>
    <row r="658">
      <c r="B658" s="119"/>
      <c r="C658" s="120"/>
    </row>
    <row r="659">
      <c r="B659" s="119"/>
      <c r="C659" s="120"/>
    </row>
    <row r="660">
      <c r="B660" s="119"/>
      <c r="C660" s="120"/>
    </row>
    <row r="661">
      <c r="B661" s="119"/>
      <c r="C661" s="120"/>
    </row>
    <row r="662">
      <c r="B662" s="119"/>
      <c r="C662" s="120"/>
    </row>
    <row r="663">
      <c r="B663" s="119"/>
      <c r="C663" s="120"/>
    </row>
    <row r="664">
      <c r="B664" s="119"/>
      <c r="C664" s="120"/>
    </row>
    <row r="665">
      <c r="B665" s="119"/>
      <c r="C665" s="120"/>
    </row>
    <row r="666">
      <c r="B666" s="119"/>
      <c r="C666" s="120"/>
    </row>
    <row r="667">
      <c r="B667" s="119"/>
      <c r="C667" s="120"/>
    </row>
    <row r="668">
      <c r="B668" s="119"/>
      <c r="C668" s="120"/>
    </row>
    <row r="669">
      <c r="B669" s="119"/>
      <c r="C669" s="120"/>
    </row>
    <row r="670">
      <c r="B670" s="119"/>
      <c r="C670" s="120"/>
    </row>
    <row r="671">
      <c r="B671" s="119"/>
      <c r="C671" s="120"/>
    </row>
    <row r="672">
      <c r="B672" s="119"/>
      <c r="C672" s="120"/>
    </row>
    <row r="673">
      <c r="B673" s="119"/>
      <c r="C673" s="120"/>
    </row>
    <row r="674">
      <c r="B674" s="119"/>
      <c r="C674" s="120"/>
    </row>
    <row r="675">
      <c r="B675" s="119"/>
      <c r="C675" s="120"/>
    </row>
    <row r="676">
      <c r="B676" s="119"/>
      <c r="C676" s="120"/>
    </row>
    <row r="677">
      <c r="B677" s="119"/>
      <c r="C677" s="120"/>
    </row>
    <row r="678">
      <c r="B678" s="119"/>
      <c r="C678" s="120"/>
    </row>
    <row r="679">
      <c r="B679" s="119"/>
      <c r="C679" s="120"/>
    </row>
    <row r="680">
      <c r="B680" s="119"/>
      <c r="C680" s="120"/>
    </row>
    <row r="681">
      <c r="B681" s="119"/>
      <c r="C681" s="120"/>
    </row>
    <row r="682">
      <c r="B682" s="119"/>
      <c r="C682" s="120"/>
    </row>
    <row r="683">
      <c r="B683" s="119"/>
      <c r="C683" s="120"/>
    </row>
    <row r="684">
      <c r="B684" s="119"/>
      <c r="C684" s="120"/>
    </row>
    <row r="685">
      <c r="B685" s="119"/>
      <c r="C685" s="120"/>
    </row>
    <row r="686">
      <c r="B686" s="119"/>
      <c r="C686" s="120"/>
    </row>
    <row r="687">
      <c r="B687" s="119"/>
      <c r="C687" s="120"/>
    </row>
    <row r="688">
      <c r="B688" s="119"/>
      <c r="C688" s="120"/>
    </row>
    <row r="689">
      <c r="B689" s="119"/>
      <c r="C689" s="120"/>
    </row>
    <row r="690">
      <c r="B690" s="119"/>
      <c r="C690" s="120"/>
    </row>
    <row r="691">
      <c r="B691" s="119"/>
      <c r="C691" s="120"/>
    </row>
    <row r="692">
      <c r="B692" s="119"/>
      <c r="C692" s="120"/>
    </row>
    <row r="693">
      <c r="B693" s="119"/>
      <c r="C693" s="120"/>
    </row>
    <row r="694">
      <c r="B694" s="119"/>
      <c r="C694" s="120"/>
    </row>
    <row r="695">
      <c r="B695" s="119"/>
      <c r="C695" s="120"/>
    </row>
    <row r="696">
      <c r="B696" s="119"/>
      <c r="C696" s="120"/>
    </row>
    <row r="697">
      <c r="B697" s="119"/>
      <c r="C697" s="120"/>
    </row>
    <row r="698">
      <c r="B698" s="119"/>
      <c r="C698" s="120"/>
    </row>
    <row r="699">
      <c r="B699" s="119"/>
      <c r="C699" s="120"/>
    </row>
    <row r="700">
      <c r="B700" s="119"/>
      <c r="C700" s="120"/>
    </row>
    <row r="701">
      <c r="B701" s="119"/>
      <c r="C701" s="120"/>
    </row>
    <row r="702">
      <c r="B702" s="119"/>
      <c r="C702" s="120"/>
    </row>
    <row r="703">
      <c r="B703" s="119"/>
      <c r="C703" s="120"/>
    </row>
    <row r="704">
      <c r="B704" s="119"/>
      <c r="C704" s="120"/>
    </row>
    <row r="705">
      <c r="B705" s="119"/>
      <c r="C705" s="120"/>
    </row>
    <row r="706">
      <c r="B706" s="119"/>
      <c r="C706" s="120"/>
    </row>
    <row r="707">
      <c r="B707" s="119"/>
      <c r="C707" s="120"/>
    </row>
    <row r="708">
      <c r="B708" s="119"/>
      <c r="C708" s="120"/>
    </row>
    <row r="709">
      <c r="B709" s="119"/>
      <c r="C709" s="120"/>
    </row>
    <row r="710">
      <c r="B710" s="119"/>
      <c r="C710" s="120"/>
    </row>
    <row r="711">
      <c r="B711" s="119"/>
      <c r="C711" s="120"/>
    </row>
    <row r="712">
      <c r="B712" s="119"/>
      <c r="C712" s="120"/>
    </row>
    <row r="713">
      <c r="B713" s="119"/>
      <c r="C713" s="120"/>
    </row>
    <row r="714">
      <c r="B714" s="119"/>
      <c r="C714" s="120"/>
    </row>
    <row r="715">
      <c r="B715" s="119"/>
      <c r="C715" s="120"/>
    </row>
    <row r="716">
      <c r="B716" s="119"/>
      <c r="C716" s="120"/>
    </row>
    <row r="717">
      <c r="B717" s="119"/>
      <c r="C717" s="120"/>
    </row>
    <row r="718">
      <c r="B718" s="119"/>
      <c r="C718" s="120"/>
    </row>
    <row r="719">
      <c r="B719" s="119"/>
      <c r="C719" s="120"/>
    </row>
    <row r="720">
      <c r="B720" s="119"/>
      <c r="C720" s="120"/>
    </row>
    <row r="721">
      <c r="B721" s="119"/>
      <c r="C721" s="120"/>
    </row>
    <row r="722">
      <c r="B722" s="119"/>
      <c r="C722" s="120"/>
    </row>
    <row r="723">
      <c r="B723" s="119"/>
      <c r="C723" s="120"/>
    </row>
    <row r="724">
      <c r="B724" s="119"/>
      <c r="C724" s="120"/>
    </row>
    <row r="725">
      <c r="B725" s="119"/>
      <c r="C725" s="120"/>
    </row>
    <row r="726">
      <c r="B726" s="119"/>
      <c r="C726" s="120"/>
    </row>
    <row r="727">
      <c r="B727" s="119"/>
      <c r="C727" s="120"/>
    </row>
    <row r="728">
      <c r="B728" s="119"/>
      <c r="C728" s="120"/>
    </row>
    <row r="729">
      <c r="B729" s="119"/>
      <c r="C729" s="120"/>
    </row>
    <row r="730">
      <c r="B730" s="119"/>
      <c r="C730" s="120"/>
    </row>
    <row r="731">
      <c r="B731" s="119"/>
      <c r="C731" s="120"/>
    </row>
    <row r="732">
      <c r="B732" s="119"/>
      <c r="C732" s="120"/>
    </row>
    <row r="733">
      <c r="B733" s="119"/>
      <c r="C733" s="120"/>
    </row>
    <row r="734">
      <c r="B734" s="119"/>
      <c r="C734" s="120"/>
    </row>
    <row r="735">
      <c r="B735" s="119"/>
      <c r="C735" s="120"/>
    </row>
    <row r="736">
      <c r="B736" s="119"/>
      <c r="C736" s="120"/>
    </row>
    <row r="737">
      <c r="B737" s="119"/>
      <c r="C737" s="120"/>
    </row>
    <row r="738">
      <c r="B738" s="119"/>
      <c r="C738" s="120"/>
    </row>
    <row r="739">
      <c r="B739" s="119"/>
      <c r="C739" s="120"/>
    </row>
    <row r="740">
      <c r="B740" s="119"/>
      <c r="C740" s="120"/>
    </row>
    <row r="741">
      <c r="B741" s="119"/>
      <c r="C741" s="120"/>
    </row>
    <row r="742">
      <c r="B742" s="119"/>
      <c r="C742" s="120"/>
    </row>
    <row r="743">
      <c r="B743" s="119"/>
      <c r="C743" s="120"/>
    </row>
    <row r="744">
      <c r="B744" s="119"/>
      <c r="C744" s="120"/>
    </row>
    <row r="745">
      <c r="B745" s="119"/>
      <c r="C745" s="120"/>
    </row>
    <row r="746">
      <c r="B746" s="119"/>
      <c r="C746" s="120"/>
    </row>
    <row r="747">
      <c r="B747" s="119"/>
      <c r="C747" s="120"/>
    </row>
    <row r="748">
      <c r="B748" s="119"/>
      <c r="C748" s="120"/>
    </row>
    <row r="749">
      <c r="B749" s="119"/>
      <c r="C749" s="120"/>
    </row>
    <row r="750">
      <c r="B750" s="119"/>
      <c r="C750" s="120"/>
    </row>
    <row r="751">
      <c r="B751" s="119"/>
      <c r="C751" s="120"/>
    </row>
    <row r="752">
      <c r="B752" s="119"/>
      <c r="C752" s="120"/>
    </row>
    <row r="753">
      <c r="B753" s="119"/>
      <c r="C753" s="120"/>
    </row>
    <row r="754">
      <c r="B754" s="119"/>
      <c r="C754" s="120"/>
    </row>
    <row r="755">
      <c r="B755" s="119"/>
      <c r="C755" s="120"/>
    </row>
    <row r="756">
      <c r="B756" s="119"/>
      <c r="C756" s="120"/>
    </row>
    <row r="757">
      <c r="B757" s="119"/>
      <c r="C757" s="120"/>
    </row>
    <row r="758">
      <c r="B758" s="119"/>
      <c r="C758" s="120"/>
    </row>
    <row r="759">
      <c r="B759" s="119"/>
      <c r="C759" s="120"/>
    </row>
    <row r="760">
      <c r="B760" s="119"/>
      <c r="C760" s="120"/>
    </row>
    <row r="761">
      <c r="B761" s="119"/>
      <c r="C761" s="120"/>
    </row>
    <row r="762">
      <c r="B762" s="119"/>
      <c r="C762" s="120"/>
    </row>
    <row r="763">
      <c r="B763" s="119"/>
      <c r="C763" s="120"/>
    </row>
    <row r="764">
      <c r="B764" s="119"/>
      <c r="C764" s="120"/>
    </row>
    <row r="765">
      <c r="B765" s="119"/>
      <c r="C765" s="120"/>
    </row>
    <row r="766">
      <c r="B766" s="119"/>
      <c r="C766" s="120"/>
    </row>
    <row r="767">
      <c r="B767" s="119"/>
      <c r="C767" s="120"/>
    </row>
    <row r="768">
      <c r="B768" s="119"/>
      <c r="C768" s="120"/>
    </row>
    <row r="769">
      <c r="B769" s="119"/>
      <c r="C769" s="120"/>
    </row>
    <row r="770">
      <c r="B770" s="119"/>
      <c r="C770" s="120"/>
    </row>
    <row r="771">
      <c r="B771" s="119"/>
      <c r="C771" s="120"/>
    </row>
    <row r="772">
      <c r="B772" s="119"/>
      <c r="C772" s="120"/>
    </row>
    <row r="773">
      <c r="B773" s="119"/>
      <c r="C773" s="120"/>
    </row>
    <row r="774">
      <c r="B774" s="119"/>
      <c r="C774" s="120"/>
    </row>
    <row r="775">
      <c r="B775" s="119"/>
      <c r="C775" s="120"/>
    </row>
    <row r="776">
      <c r="B776" s="119"/>
      <c r="C776" s="120"/>
    </row>
    <row r="777">
      <c r="B777" s="119"/>
      <c r="C777" s="120"/>
    </row>
    <row r="778">
      <c r="B778" s="119"/>
      <c r="C778" s="120"/>
    </row>
    <row r="779">
      <c r="B779" s="119"/>
      <c r="C779" s="120"/>
    </row>
    <row r="780">
      <c r="B780" s="119"/>
      <c r="C780" s="120"/>
    </row>
    <row r="781">
      <c r="B781" s="119"/>
      <c r="C781" s="120"/>
    </row>
    <row r="782">
      <c r="B782" s="119"/>
      <c r="C782" s="120"/>
    </row>
    <row r="783">
      <c r="B783" s="119"/>
      <c r="C783" s="120"/>
    </row>
    <row r="784">
      <c r="B784" s="119"/>
      <c r="C784" s="120"/>
    </row>
    <row r="785">
      <c r="B785" s="119"/>
      <c r="C785" s="120"/>
    </row>
    <row r="786">
      <c r="B786" s="119"/>
      <c r="C786" s="120"/>
    </row>
    <row r="787">
      <c r="B787" s="119"/>
      <c r="C787" s="120"/>
    </row>
    <row r="788">
      <c r="B788" s="119"/>
      <c r="C788" s="120"/>
    </row>
    <row r="789">
      <c r="B789" s="119"/>
      <c r="C789" s="120"/>
    </row>
    <row r="790">
      <c r="B790" s="119"/>
      <c r="C790" s="120"/>
    </row>
    <row r="791">
      <c r="B791" s="119"/>
      <c r="C791" s="120"/>
    </row>
    <row r="792">
      <c r="B792" s="119"/>
      <c r="C792" s="120"/>
    </row>
    <row r="793">
      <c r="B793" s="119"/>
      <c r="C793" s="120"/>
    </row>
    <row r="794">
      <c r="B794" s="119"/>
      <c r="C794" s="120"/>
    </row>
    <row r="795">
      <c r="B795" s="119"/>
      <c r="C795" s="120"/>
    </row>
    <row r="796">
      <c r="B796" s="119"/>
      <c r="C796" s="120"/>
    </row>
    <row r="797">
      <c r="B797" s="119"/>
      <c r="C797" s="120"/>
    </row>
    <row r="798">
      <c r="B798" s="119"/>
      <c r="C798" s="120"/>
    </row>
    <row r="799">
      <c r="B799" s="119"/>
      <c r="C799" s="120"/>
    </row>
    <row r="800">
      <c r="B800" s="119"/>
      <c r="C800" s="120"/>
    </row>
    <row r="801">
      <c r="B801" s="119"/>
      <c r="C801" s="120"/>
    </row>
    <row r="802">
      <c r="B802" s="119"/>
      <c r="C802" s="120"/>
    </row>
    <row r="803">
      <c r="B803" s="119"/>
      <c r="C803" s="120"/>
    </row>
    <row r="804">
      <c r="B804" s="119"/>
      <c r="C804" s="120"/>
    </row>
    <row r="805">
      <c r="B805" s="119"/>
      <c r="C805" s="120"/>
    </row>
    <row r="806">
      <c r="B806" s="119"/>
      <c r="C806" s="120"/>
    </row>
    <row r="807">
      <c r="B807" s="119"/>
      <c r="C807" s="120"/>
    </row>
    <row r="808">
      <c r="B808" s="119"/>
      <c r="C808" s="120"/>
    </row>
    <row r="809">
      <c r="B809" s="119"/>
      <c r="C809" s="120"/>
    </row>
    <row r="810">
      <c r="B810" s="119"/>
      <c r="C810" s="120"/>
    </row>
    <row r="811">
      <c r="B811" s="119"/>
      <c r="C811" s="120"/>
    </row>
    <row r="812">
      <c r="B812" s="119"/>
      <c r="C812" s="120"/>
    </row>
    <row r="813">
      <c r="B813" s="119"/>
      <c r="C813" s="120"/>
    </row>
    <row r="814">
      <c r="B814" s="119"/>
      <c r="C814" s="120"/>
    </row>
    <row r="815">
      <c r="B815" s="119"/>
      <c r="C815" s="120"/>
    </row>
    <row r="816">
      <c r="B816" s="119"/>
      <c r="C816" s="120"/>
    </row>
    <row r="817">
      <c r="B817" s="119"/>
      <c r="C817" s="120"/>
    </row>
    <row r="818">
      <c r="B818" s="119"/>
      <c r="C818" s="120"/>
    </row>
    <row r="819">
      <c r="B819" s="119"/>
      <c r="C819" s="120"/>
    </row>
    <row r="820">
      <c r="B820" s="119"/>
      <c r="C820" s="120"/>
    </row>
    <row r="821">
      <c r="B821" s="119"/>
      <c r="C821" s="120"/>
    </row>
    <row r="822">
      <c r="B822" s="119"/>
      <c r="C822" s="120"/>
    </row>
    <row r="823">
      <c r="B823" s="119"/>
      <c r="C823" s="120"/>
    </row>
    <row r="824">
      <c r="B824" s="119"/>
      <c r="C824" s="120"/>
    </row>
    <row r="825">
      <c r="B825" s="119"/>
      <c r="C825" s="120"/>
    </row>
    <row r="826">
      <c r="B826" s="119"/>
      <c r="C826" s="120"/>
    </row>
    <row r="827">
      <c r="B827" s="119"/>
      <c r="C827" s="120"/>
    </row>
    <row r="828">
      <c r="B828" s="119"/>
      <c r="C828" s="120"/>
    </row>
    <row r="829">
      <c r="B829" s="119"/>
      <c r="C829" s="120"/>
    </row>
    <row r="830">
      <c r="B830" s="119"/>
      <c r="C830" s="120"/>
    </row>
    <row r="831">
      <c r="B831" s="119"/>
      <c r="C831" s="120"/>
    </row>
    <row r="832">
      <c r="B832" s="119"/>
      <c r="C832" s="120"/>
    </row>
    <row r="833">
      <c r="B833" s="119"/>
      <c r="C833" s="120"/>
    </row>
    <row r="834">
      <c r="B834" s="119"/>
      <c r="C834" s="120"/>
    </row>
    <row r="835">
      <c r="B835" s="119"/>
      <c r="C835" s="120"/>
    </row>
    <row r="836">
      <c r="B836" s="119"/>
      <c r="C836" s="120"/>
    </row>
    <row r="837">
      <c r="B837" s="119"/>
      <c r="C837" s="120"/>
    </row>
    <row r="838">
      <c r="B838" s="119"/>
      <c r="C838" s="120"/>
    </row>
    <row r="839">
      <c r="B839" s="119"/>
      <c r="C839" s="120"/>
    </row>
    <row r="840">
      <c r="B840" s="119"/>
      <c r="C840" s="120"/>
    </row>
    <row r="841">
      <c r="B841" s="119"/>
      <c r="C841" s="120"/>
    </row>
    <row r="842">
      <c r="B842" s="119"/>
      <c r="C842" s="120"/>
    </row>
    <row r="843">
      <c r="B843" s="119"/>
      <c r="C843" s="120"/>
    </row>
    <row r="844">
      <c r="B844" s="119"/>
      <c r="C844" s="120"/>
    </row>
    <row r="845">
      <c r="B845" s="119"/>
      <c r="C845" s="120"/>
    </row>
    <row r="846">
      <c r="B846" s="119"/>
      <c r="C846" s="120"/>
    </row>
    <row r="847">
      <c r="B847" s="119"/>
      <c r="C847" s="120"/>
    </row>
    <row r="848">
      <c r="B848" s="119"/>
      <c r="C848" s="120"/>
    </row>
    <row r="849">
      <c r="B849" s="119"/>
      <c r="C849" s="120"/>
    </row>
    <row r="850">
      <c r="B850" s="119"/>
      <c r="C850" s="120"/>
    </row>
    <row r="851">
      <c r="B851" s="119"/>
      <c r="C851" s="120"/>
    </row>
    <row r="852">
      <c r="B852" s="119"/>
      <c r="C852" s="120"/>
    </row>
    <row r="853">
      <c r="B853" s="119"/>
      <c r="C853" s="120"/>
    </row>
    <row r="854">
      <c r="B854" s="119"/>
      <c r="C854" s="120"/>
    </row>
    <row r="855">
      <c r="B855" s="119"/>
      <c r="C855" s="120"/>
    </row>
    <row r="856">
      <c r="B856" s="119"/>
      <c r="C856" s="120"/>
    </row>
    <row r="857">
      <c r="B857" s="119"/>
      <c r="C857" s="120"/>
    </row>
    <row r="858">
      <c r="B858" s="119"/>
      <c r="C858" s="120"/>
    </row>
    <row r="859">
      <c r="B859" s="119"/>
      <c r="C859" s="120"/>
    </row>
    <row r="860">
      <c r="B860" s="119"/>
      <c r="C860" s="120"/>
    </row>
    <row r="861">
      <c r="B861" s="119"/>
      <c r="C861" s="120"/>
    </row>
    <row r="862">
      <c r="B862" s="119"/>
      <c r="C862" s="120"/>
    </row>
    <row r="863">
      <c r="B863" s="119"/>
      <c r="C863" s="120"/>
    </row>
    <row r="864">
      <c r="B864" s="119"/>
      <c r="C864" s="120"/>
    </row>
    <row r="865">
      <c r="B865" s="119"/>
      <c r="C865" s="120"/>
    </row>
    <row r="866">
      <c r="B866" s="119"/>
      <c r="C866" s="120"/>
    </row>
    <row r="867">
      <c r="B867" s="119"/>
      <c r="C867" s="120"/>
    </row>
    <row r="868">
      <c r="B868" s="119"/>
      <c r="C868" s="120"/>
    </row>
    <row r="869">
      <c r="B869" s="119"/>
      <c r="C869" s="120"/>
    </row>
    <row r="870">
      <c r="B870" s="119"/>
      <c r="C870" s="120"/>
    </row>
    <row r="871">
      <c r="B871" s="119"/>
      <c r="C871" s="120"/>
    </row>
    <row r="872">
      <c r="B872" s="119"/>
      <c r="C872" s="120"/>
    </row>
    <row r="873">
      <c r="B873" s="119"/>
      <c r="C873" s="120"/>
    </row>
    <row r="874">
      <c r="B874" s="119"/>
      <c r="C874" s="120"/>
    </row>
    <row r="875">
      <c r="B875" s="119"/>
      <c r="C875" s="120"/>
    </row>
    <row r="876">
      <c r="B876" s="119"/>
      <c r="C876" s="120"/>
    </row>
    <row r="877">
      <c r="B877" s="119"/>
      <c r="C877" s="120"/>
    </row>
    <row r="878">
      <c r="B878" s="119"/>
      <c r="C878" s="120"/>
    </row>
    <row r="879">
      <c r="B879" s="119"/>
      <c r="C879" s="120"/>
    </row>
    <row r="880">
      <c r="B880" s="119"/>
      <c r="C880" s="120"/>
    </row>
    <row r="881">
      <c r="B881" s="119"/>
      <c r="C881" s="120"/>
    </row>
    <row r="882">
      <c r="B882" s="119"/>
      <c r="C882" s="120"/>
    </row>
    <row r="883">
      <c r="B883" s="119"/>
      <c r="C883" s="120"/>
    </row>
    <row r="884">
      <c r="B884" s="119"/>
      <c r="C884" s="120"/>
    </row>
    <row r="885">
      <c r="B885" s="119"/>
      <c r="C885" s="120"/>
    </row>
    <row r="886">
      <c r="B886" s="119"/>
      <c r="C886" s="120"/>
    </row>
    <row r="887">
      <c r="B887" s="119"/>
      <c r="C887" s="120"/>
    </row>
    <row r="888">
      <c r="B888" s="119"/>
      <c r="C888" s="120"/>
    </row>
    <row r="889">
      <c r="B889" s="119"/>
      <c r="C889" s="120"/>
    </row>
    <row r="890">
      <c r="B890" s="119"/>
      <c r="C890" s="120"/>
    </row>
    <row r="891">
      <c r="B891" s="119"/>
      <c r="C891" s="120"/>
    </row>
    <row r="892">
      <c r="B892" s="119"/>
      <c r="C892" s="120"/>
    </row>
    <row r="893">
      <c r="B893" s="119"/>
      <c r="C893" s="120"/>
    </row>
    <row r="894">
      <c r="B894" s="119"/>
      <c r="C894" s="120"/>
    </row>
    <row r="895">
      <c r="B895" s="119"/>
      <c r="C895" s="120"/>
    </row>
    <row r="896">
      <c r="B896" s="119"/>
      <c r="C896" s="120"/>
    </row>
    <row r="897">
      <c r="B897" s="119"/>
      <c r="C897" s="120"/>
    </row>
    <row r="898">
      <c r="B898" s="119"/>
      <c r="C898" s="120"/>
    </row>
    <row r="899">
      <c r="B899" s="119"/>
      <c r="C899" s="120"/>
    </row>
    <row r="900">
      <c r="B900" s="119"/>
      <c r="C900" s="120"/>
    </row>
    <row r="901">
      <c r="B901" s="119"/>
      <c r="C901" s="120"/>
    </row>
    <row r="902">
      <c r="B902" s="119"/>
      <c r="C902" s="120"/>
    </row>
    <row r="903">
      <c r="B903" s="119"/>
      <c r="C903" s="120"/>
    </row>
    <row r="904">
      <c r="B904" s="119"/>
      <c r="C904" s="120"/>
    </row>
    <row r="905">
      <c r="B905" s="119"/>
      <c r="C905" s="120"/>
    </row>
    <row r="906">
      <c r="B906" s="119"/>
      <c r="C906" s="120"/>
    </row>
    <row r="907">
      <c r="B907" s="119"/>
      <c r="C907" s="120"/>
    </row>
    <row r="908">
      <c r="B908" s="119"/>
      <c r="C908" s="120"/>
    </row>
    <row r="909">
      <c r="B909" s="119"/>
      <c r="C909" s="120"/>
    </row>
    <row r="910">
      <c r="B910" s="119"/>
      <c r="C910" s="120"/>
    </row>
    <row r="911">
      <c r="B911" s="119"/>
      <c r="C911" s="120"/>
    </row>
    <row r="912">
      <c r="B912" s="119"/>
      <c r="C912" s="120"/>
    </row>
    <row r="913">
      <c r="B913" s="119"/>
      <c r="C913" s="120"/>
    </row>
    <row r="914">
      <c r="B914" s="119"/>
      <c r="C914" s="120"/>
    </row>
    <row r="915">
      <c r="B915" s="119"/>
      <c r="C915" s="120"/>
    </row>
    <row r="916">
      <c r="B916" s="119"/>
      <c r="C916" s="120"/>
    </row>
    <row r="917">
      <c r="B917" s="119"/>
      <c r="C917" s="120"/>
    </row>
    <row r="918">
      <c r="B918" s="119"/>
      <c r="C918" s="120"/>
    </row>
    <row r="919">
      <c r="B919" s="119"/>
      <c r="C919" s="120"/>
    </row>
    <row r="920">
      <c r="B920" s="119"/>
      <c r="C920" s="120"/>
    </row>
    <row r="921">
      <c r="B921" s="119"/>
      <c r="C921" s="120"/>
    </row>
    <row r="922">
      <c r="B922" s="119"/>
      <c r="C922" s="120"/>
    </row>
    <row r="923">
      <c r="B923" s="119"/>
      <c r="C923" s="120"/>
    </row>
    <row r="924">
      <c r="B924" s="119"/>
      <c r="C924" s="120"/>
    </row>
    <row r="925">
      <c r="B925" s="119"/>
      <c r="C925" s="120"/>
    </row>
    <row r="926">
      <c r="B926" s="119"/>
      <c r="C926" s="120"/>
    </row>
    <row r="927">
      <c r="B927" s="119"/>
      <c r="C927" s="120"/>
    </row>
    <row r="928">
      <c r="B928" s="119"/>
      <c r="C928" s="120"/>
    </row>
    <row r="929">
      <c r="B929" s="119"/>
      <c r="C929" s="120"/>
    </row>
    <row r="930">
      <c r="B930" s="119"/>
      <c r="C930" s="120"/>
    </row>
    <row r="931">
      <c r="B931" s="119"/>
      <c r="C931" s="120"/>
    </row>
    <row r="932">
      <c r="B932" s="119"/>
      <c r="C932" s="120"/>
    </row>
    <row r="933">
      <c r="B933" s="119"/>
      <c r="C933" s="120"/>
    </row>
    <row r="934">
      <c r="B934" s="119"/>
      <c r="C934" s="120"/>
    </row>
    <row r="935">
      <c r="B935" s="119"/>
      <c r="C935" s="120"/>
    </row>
    <row r="936">
      <c r="B936" s="119"/>
      <c r="C936" s="120"/>
    </row>
    <row r="937">
      <c r="B937" s="119"/>
      <c r="C937" s="120"/>
    </row>
    <row r="938">
      <c r="B938" s="119"/>
      <c r="C938" s="120"/>
    </row>
    <row r="939">
      <c r="B939" s="119"/>
      <c r="C939" s="120"/>
    </row>
    <row r="940">
      <c r="B940" s="119"/>
      <c r="C940" s="120"/>
    </row>
    <row r="941">
      <c r="B941" s="119"/>
      <c r="C941" s="120"/>
    </row>
    <row r="942">
      <c r="B942" s="119"/>
      <c r="C942" s="120"/>
    </row>
    <row r="943">
      <c r="B943" s="119"/>
      <c r="C943" s="120"/>
    </row>
    <row r="944">
      <c r="B944" s="119"/>
      <c r="C944" s="120"/>
    </row>
    <row r="945">
      <c r="B945" s="119"/>
      <c r="C945" s="120"/>
    </row>
    <row r="946">
      <c r="B946" s="119"/>
      <c r="C946" s="120"/>
    </row>
    <row r="947">
      <c r="B947" s="119"/>
      <c r="C947" s="120"/>
    </row>
    <row r="948">
      <c r="B948" s="119"/>
      <c r="C948" s="120"/>
    </row>
    <row r="949">
      <c r="B949" s="119"/>
      <c r="C949" s="120"/>
    </row>
    <row r="950">
      <c r="B950" s="119"/>
      <c r="C950" s="120"/>
    </row>
    <row r="951">
      <c r="B951" s="119"/>
      <c r="C951" s="120"/>
    </row>
    <row r="952">
      <c r="B952" s="119"/>
      <c r="C952" s="120"/>
    </row>
    <row r="953">
      <c r="B953" s="119"/>
      <c r="C953" s="120"/>
    </row>
    <row r="954">
      <c r="B954" s="119"/>
      <c r="C954" s="120"/>
    </row>
    <row r="955">
      <c r="B955" s="119"/>
      <c r="C955" s="120"/>
    </row>
    <row r="956">
      <c r="B956" s="119"/>
      <c r="C956" s="120"/>
    </row>
    <row r="957">
      <c r="B957" s="119"/>
      <c r="C957" s="120"/>
    </row>
    <row r="958">
      <c r="B958" s="119"/>
      <c r="C958" s="120"/>
    </row>
    <row r="959">
      <c r="B959" s="119"/>
      <c r="C959" s="120"/>
    </row>
    <row r="960">
      <c r="B960" s="119"/>
      <c r="C960" s="120"/>
    </row>
    <row r="961">
      <c r="B961" s="119"/>
      <c r="C961" s="120"/>
    </row>
    <row r="962">
      <c r="B962" s="119"/>
      <c r="C962" s="120"/>
    </row>
    <row r="963">
      <c r="B963" s="119"/>
      <c r="C963" s="120"/>
    </row>
    <row r="964">
      <c r="B964" s="119"/>
      <c r="C964" s="120"/>
    </row>
    <row r="965">
      <c r="B965" s="119"/>
      <c r="C965" s="120"/>
    </row>
    <row r="966">
      <c r="B966" s="119"/>
      <c r="C966" s="120"/>
    </row>
    <row r="967">
      <c r="B967" s="119"/>
      <c r="C967" s="120"/>
    </row>
    <row r="968">
      <c r="B968" s="119"/>
      <c r="C968" s="120"/>
    </row>
    <row r="969">
      <c r="B969" s="119"/>
      <c r="C969" s="120"/>
    </row>
    <row r="970">
      <c r="B970" s="119"/>
      <c r="C970" s="120"/>
    </row>
    <row r="971">
      <c r="B971" s="119"/>
      <c r="C971" s="120"/>
    </row>
    <row r="972">
      <c r="B972" s="119"/>
      <c r="C972" s="120"/>
    </row>
    <row r="973">
      <c r="B973" s="119"/>
      <c r="C973" s="120"/>
    </row>
    <row r="974">
      <c r="B974" s="119"/>
      <c r="C974" s="120"/>
    </row>
    <row r="975">
      <c r="B975" s="119"/>
      <c r="C975" s="120"/>
    </row>
    <row r="976">
      <c r="B976" s="119"/>
      <c r="C976" s="120"/>
    </row>
    <row r="977">
      <c r="B977" s="119"/>
      <c r="C977" s="120"/>
    </row>
    <row r="978">
      <c r="B978" s="119"/>
      <c r="C978" s="120"/>
    </row>
    <row r="979">
      <c r="B979" s="119"/>
      <c r="C979" s="120"/>
    </row>
    <row r="980">
      <c r="B980" s="119"/>
      <c r="C980" s="120"/>
    </row>
    <row r="981">
      <c r="B981" s="119"/>
      <c r="C981" s="120"/>
    </row>
    <row r="982">
      <c r="B982" s="119"/>
      <c r="C982" s="120"/>
    </row>
    <row r="983">
      <c r="B983" s="119"/>
      <c r="C983" s="120"/>
    </row>
    <row r="984">
      <c r="B984" s="119"/>
      <c r="C984" s="120"/>
    </row>
    <row r="985">
      <c r="B985" s="119"/>
      <c r="C985" s="120"/>
    </row>
    <row r="986">
      <c r="B986" s="119"/>
      <c r="C986" s="120"/>
    </row>
    <row r="987">
      <c r="B987" s="119"/>
      <c r="C987" s="120"/>
    </row>
    <row r="988">
      <c r="B988" s="119"/>
      <c r="C988" s="120"/>
    </row>
    <row r="989">
      <c r="B989" s="119"/>
      <c r="C989" s="120"/>
    </row>
    <row r="990">
      <c r="B990" s="119"/>
      <c r="C990" s="120"/>
    </row>
    <row r="991">
      <c r="B991" s="119"/>
      <c r="C991" s="120"/>
    </row>
    <row r="992">
      <c r="B992" s="119"/>
      <c r="C992" s="120"/>
    </row>
    <row r="993">
      <c r="B993" s="119"/>
      <c r="C993" s="120"/>
    </row>
    <row r="994">
      <c r="B994" s="119"/>
      <c r="C994" s="120"/>
    </row>
    <row r="995">
      <c r="B995" s="119"/>
      <c r="C995" s="120"/>
    </row>
    <row r="996">
      <c r="B996" s="119"/>
      <c r="C996" s="120"/>
    </row>
    <row r="997">
      <c r="B997" s="119"/>
      <c r="C997" s="120"/>
    </row>
    <row r="998">
      <c r="B998" s="119"/>
      <c r="C998" s="120"/>
    </row>
  </sheetData>
  <customSheetViews>
    <customSheetView guid="{8B82C2B2-B08B-44B2-BD20-2D58BFF19569}" filter="1" showAutoFilter="1">
      <autoFilter ref="$A$1:$I$68"/>
    </customSheetView>
  </customSheetViews>
  <dataValidations>
    <dataValidation type="list" allowBlank="1" sqref="H2:H68">
      <formula1>"Thiên Phúc,Anh Quân"</formula1>
    </dataValidation>
    <dataValidation type="list" allowBlank="1" sqref="G2:G68">
      <formula1>"Framework,Survey,Redundant"</formula1>
    </dataValidation>
    <dataValidation type="list" allowBlank="1" sqref="D2:D68">
      <formula1>"Amazon Beauty,Amazon Toys,Amazon Sports,Amazon Books,Yelp,Steam,MovieLens,Amazon Review,ML-1M,None,Amazon VIdeo Games,Amazon Movies"</formula1>
    </dataValidation>
    <dataValidation type="custom" allowBlank="1" showDropDown="1" sqref="B2:B68">
      <formula1>AND(ISNUMBER(B2),(NOT(OR(NOT(ISERROR(DATEVALUE(B2))), AND(ISNUMBER(B2), LEFT(CELL("format", B2))="D")))))</formula1>
    </dataValidation>
    <dataValidation allowBlank="1" showDropDown="1" sqref="A2:A68 C2:C68 E2:F68"/>
  </dataValidations>
  <hyperlinks>
    <hyperlink r:id="rId1" ref="A70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8.88"/>
    <col customWidth="1" min="2" max="2" width="24.5"/>
    <col customWidth="1" min="3" max="3" width="18.13"/>
    <col customWidth="1" min="4" max="4" width="16.0"/>
  </cols>
  <sheetData>
    <row r="1" ht="22.5" customHeight="1">
      <c r="A1" s="99" t="s">
        <v>118</v>
      </c>
      <c r="B1" s="99" t="s">
        <v>119</v>
      </c>
      <c r="C1" s="99" t="s">
        <v>120</v>
      </c>
      <c r="D1" s="99" t="s">
        <v>121</v>
      </c>
    </row>
    <row r="2" ht="22.5" customHeight="1">
      <c r="A2" s="100" t="s">
        <v>122</v>
      </c>
      <c r="B2" s="100" t="s">
        <v>123</v>
      </c>
      <c r="C2" s="101" t="s">
        <v>124</v>
      </c>
      <c r="D2" s="101" t="s">
        <v>125</v>
      </c>
    </row>
    <row r="3" ht="22.5" customHeight="1">
      <c r="A3" s="102" t="s">
        <v>126</v>
      </c>
      <c r="B3" s="103" t="s">
        <v>127</v>
      </c>
      <c r="C3" s="104" t="s">
        <v>124</v>
      </c>
      <c r="D3" s="104" t="s">
        <v>125</v>
      </c>
    </row>
    <row r="4" ht="22.5" customHeight="1">
      <c r="A4" s="100" t="s">
        <v>128</v>
      </c>
      <c r="B4" s="100" t="s">
        <v>129</v>
      </c>
      <c r="C4" s="101" t="s">
        <v>124</v>
      </c>
      <c r="D4" s="101" t="s">
        <v>125</v>
      </c>
    </row>
    <row r="5" ht="22.5" customHeight="1">
      <c r="A5" s="103" t="s">
        <v>130</v>
      </c>
      <c r="B5" s="103" t="s">
        <v>131</v>
      </c>
      <c r="C5" s="104" t="s">
        <v>124</v>
      </c>
      <c r="D5" s="104" t="s">
        <v>125</v>
      </c>
    </row>
    <row r="6" ht="22.5" customHeight="1">
      <c r="A6" s="100" t="s">
        <v>132</v>
      </c>
      <c r="B6" s="100" t="s">
        <v>133</v>
      </c>
      <c r="C6" s="101" t="s">
        <v>124</v>
      </c>
      <c r="D6" s="101" t="s">
        <v>125</v>
      </c>
    </row>
    <row r="7" ht="22.5" customHeight="1">
      <c r="A7" s="103" t="s">
        <v>134</v>
      </c>
      <c r="B7" s="102" t="s">
        <v>135</v>
      </c>
      <c r="C7" s="104" t="s">
        <v>124</v>
      </c>
      <c r="D7" s="104" t="s">
        <v>125</v>
      </c>
    </row>
    <row r="8" ht="22.5" customHeight="1">
      <c r="A8" s="100" t="s">
        <v>136</v>
      </c>
      <c r="B8" s="100" t="s">
        <v>137</v>
      </c>
      <c r="C8" s="101" t="s">
        <v>124</v>
      </c>
      <c r="D8" s="101" t="s">
        <v>125</v>
      </c>
    </row>
    <row r="9" ht="22.5" customHeight="1">
      <c r="A9" s="103" t="s">
        <v>138</v>
      </c>
      <c r="B9" s="103" t="s">
        <v>139</v>
      </c>
      <c r="C9" s="104" t="s">
        <v>124</v>
      </c>
      <c r="D9" s="104" t="s">
        <v>140</v>
      </c>
    </row>
    <row r="10" ht="22.5" customHeight="1">
      <c r="A10" s="100" t="s">
        <v>141</v>
      </c>
      <c r="B10" s="100" t="s">
        <v>142</v>
      </c>
      <c r="C10" s="101" t="s">
        <v>124</v>
      </c>
      <c r="D10" s="101" t="s">
        <v>140</v>
      </c>
    </row>
    <row r="11" ht="22.5" customHeight="1">
      <c r="A11" s="103" t="s">
        <v>143</v>
      </c>
      <c r="B11" s="103" t="s">
        <v>144</v>
      </c>
      <c r="C11" s="104" t="s">
        <v>124</v>
      </c>
      <c r="D11" s="104" t="s">
        <v>145</v>
      </c>
    </row>
    <row r="12" ht="22.5" customHeight="1">
      <c r="A12" s="100" t="s">
        <v>146</v>
      </c>
      <c r="B12" s="100" t="s">
        <v>147</v>
      </c>
      <c r="C12" s="101" t="s">
        <v>148</v>
      </c>
      <c r="D12" s="101" t="s">
        <v>149</v>
      </c>
    </row>
    <row r="13" ht="22.5" customHeight="1">
      <c r="A13" s="103" t="s">
        <v>150</v>
      </c>
      <c r="B13" s="103" t="s">
        <v>151</v>
      </c>
      <c r="C13" s="104" t="s">
        <v>124</v>
      </c>
      <c r="D13" s="104" t="s">
        <v>152</v>
      </c>
    </row>
    <row r="14" ht="22.5" customHeight="1">
      <c r="A14" s="100" t="s">
        <v>153</v>
      </c>
      <c r="B14" s="105" t="s">
        <v>154</v>
      </c>
      <c r="C14" s="101" t="s">
        <v>124</v>
      </c>
      <c r="D14" s="101" t="s">
        <v>152</v>
      </c>
    </row>
    <row r="15" ht="22.5" customHeight="1">
      <c r="A15" s="103" t="s">
        <v>155</v>
      </c>
      <c r="B15" s="103" t="s">
        <v>156</v>
      </c>
      <c r="C15" s="104" t="s">
        <v>148</v>
      </c>
      <c r="D15" s="104" t="s">
        <v>157</v>
      </c>
    </row>
    <row r="16" ht="22.5" customHeight="1">
      <c r="A16" s="100" t="s">
        <v>158</v>
      </c>
      <c r="B16" s="100" t="s">
        <v>159</v>
      </c>
      <c r="C16" s="101" t="s">
        <v>160</v>
      </c>
      <c r="D16" s="101" t="s">
        <v>157</v>
      </c>
    </row>
    <row r="17" ht="22.5" customHeight="1">
      <c r="A17" s="103" t="s">
        <v>161</v>
      </c>
      <c r="B17" s="103" t="s">
        <v>162</v>
      </c>
      <c r="C17" s="104" t="s">
        <v>160</v>
      </c>
      <c r="D17" s="104" t="s">
        <v>157</v>
      </c>
    </row>
    <row r="18" ht="22.5" customHeight="1">
      <c r="A18" s="100" t="s">
        <v>66</v>
      </c>
      <c r="B18" s="100" t="s">
        <v>163</v>
      </c>
      <c r="C18" s="101" t="s">
        <v>164</v>
      </c>
      <c r="D18" s="101" t="s">
        <v>157</v>
      </c>
    </row>
    <row r="19" ht="22.5" customHeight="1">
      <c r="A19" s="103" t="s">
        <v>71</v>
      </c>
      <c r="B19" s="103" t="s">
        <v>165</v>
      </c>
      <c r="C19" s="104" t="s">
        <v>164</v>
      </c>
      <c r="D19" s="104" t="s">
        <v>157</v>
      </c>
    </row>
    <row r="20" ht="22.5" customHeight="1">
      <c r="A20" s="100" t="s">
        <v>166</v>
      </c>
      <c r="B20" s="100" t="s">
        <v>167</v>
      </c>
      <c r="C20" s="101" t="s">
        <v>164</v>
      </c>
      <c r="D20" s="101" t="s">
        <v>157</v>
      </c>
    </row>
    <row r="21" ht="22.5" customHeight="1">
      <c r="A21" s="103" t="s">
        <v>168</v>
      </c>
      <c r="B21" s="103" t="s">
        <v>169</v>
      </c>
      <c r="C21" s="104" t="s">
        <v>164</v>
      </c>
      <c r="D21" s="104" t="s">
        <v>157</v>
      </c>
    </row>
    <row r="22">
      <c r="A22" s="106"/>
      <c r="B22" s="106"/>
      <c r="C22" s="106"/>
      <c r="D22" s="106"/>
    </row>
  </sheetData>
  <drawing r:id="rId1"/>
  <tableParts count="1">
    <tablePart r:id="rId3"/>
  </tableParts>
</worksheet>
</file>